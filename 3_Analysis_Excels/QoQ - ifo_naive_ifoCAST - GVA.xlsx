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3_Analysis_Excels/"/>
    </mc:Choice>
  </mc:AlternateContent>
  <xr:revisionPtr revIDLastSave="340" documentId="8_{C8633DC1-0678-44D8-A406-195500882EAF}" xr6:coauthVersionLast="47" xr6:coauthVersionMax="47" xr10:uidLastSave="{12E7F6CA-F0BD-4A9A-BF3B-4FD719F5B35A}"/>
  <bookViews>
    <workbookView xWindow="-90" yWindow="0" windowWidth="12980" windowHeight="15370" firstSheet="2" activeTab="2" xr2:uid="{00000000-000D-0000-FFFF-FFFF00000000}"/>
  </bookViews>
  <sheets>
    <sheet name="ifoCAST - ifo GVA" sheetId="2" r:id="rId1"/>
    <sheet name="ifoCAST -ifo 2021 sample GVA" sheetId="4" r:id="rId2"/>
    <sheet name="ifoCAST - ifo 2022 sample GV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5" l="1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K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T20" i="2"/>
  <c r="D20" i="2"/>
  <c r="K67" i="5" l="1"/>
  <c r="K67" i="2"/>
  <c r="S67" i="5"/>
  <c r="S67" i="4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S53" i="2" l="1"/>
  <c r="S67" i="2"/>
</calcChain>
</file>

<file path=xl/sharedStrings.xml><?xml version="1.0" encoding="utf-8"?>
<sst xmlns="http://schemas.openxmlformats.org/spreadsheetml/2006/main" count="519" uniqueCount="32">
  <si>
    <t>ME</t>
  </si>
  <si>
    <t>MAE</t>
  </si>
  <si>
    <t>MSE</t>
  </si>
  <si>
    <t>RMSE</t>
  </si>
  <si>
    <t>SE</t>
  </si>
  <si>
    <t>N</t>
  </si>
  <si>
    <t>Q0</t>
  </si>
  <si>
    <t>Q1</t>
  </si>
  <si>
    <t>Qminus1</t>
  </si>
  <si>
    <t>ifoCAST - Release matched</t>
  </si>
  <si>
    <t>ifo - ifoCAST Sample</t>
  </si>
  <si>
    <t>ifoCAST - all observations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</si>
  <si>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</si>
  <si>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</si>
  <si>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</si>
  <si>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</si>
  <si>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</si>
  <si>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</si>
  <si>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Average1 - ifoCAST sample</t>
  </si>
  <si>
    <t>Average-10 - ifoCAST sample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</si>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</sst>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C4" sqref="C4:H5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3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-2.5156113663913619E-2</v>
      </c>
      <c r="D4">
        <v>0.67002908920460946</v>
      </c>
      <c r="E4">
        <v>0.76309507027883405</v>
      </c>
      <c r="F4">
        <v>0.87355312962568799</v>
      </c>
      <c r="G4">
        <v>0.89373931655104144</v>
      </c>
      <c r="H4">
        <v>22</v>
      </c>
    </row>
    <row r="5" spans="2:24" x14ac:dyDescent="0.35">
      <c r="B5" s="1" t="s">
        <v>7</v>
      </c>
      <c r="C5">
        <v>0.7989723451147972</v>
      </c>
      <c r="D5">
        <v>1.153826359755487</v>
      </c>
      <c r="E5">
        <v>2.737227787334076</v>
      </c>
      <c r="F5">
        <v>1.6544569463525109</v>
      </c>
      <c r="G5">
        <v>1.484525017650302</v>
      </c>
      <c r="H5">
        <v>21</v>
      </c>
    </row>
    <row r="9" spans="2:24" x14ac:dyDescent="0.35">
      <c r="B9" s="13" t="s">
        <v>21</v>
      </c>
    </row>
    <row r="10" spans="2:24" ht="29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9.2936673182204207E-2</v>
      </c>
      <c r="D11">
        <v>0.80690937849901578</v>
      </c>
      <c r="E11">
        <v>1.5449358682951431</v>
      </c>
      <c r="F11">
        <v>1.242954491642853</v>
      </c>
      <c r="G11">
        <v>1.268643260067438</v>
      </c>
      <c r="H11">
        <v>22</v>
      </c>
      <c r="J11" s="1" t="s">
        <v>8</v>
      </c>
      <c r="K11">
        <v>0.18341579599999999</v>
      </c>
      <c r="L11">
        <v>1.5536295440000001</v>
      </c>
      <c r="M11">
        <v>6.7932893920000001</v>
      </c>
      <c r="N11">
        <v>2.6063939440000001</v>
      </c>
      <c r="O11">
        <v>2.6641378420000001</v>
      </c>
      <c r="P11">
        <v>21</v>
      </c>
      <c r="R11" s="1" t="s">
        <v>8</v>
      </c>
      <c r="S11" s="7">
        <v>0.164062449</v>
      </c>
      <c r="T11" s="7">
        <v>0.88267234100000003</v>
      </c>
      <c r="U11" s="7">
        <v>1.6729155570000001</v>
      </c>
      <c r="V11" s="7">
        <v>1.2934123689999999</v>
      </c>
      <c r="W11" s="7">
        <v>1.297462192</v>
      </c>
      <c r="X11" s="7">
        <v>45</v>
      </c>
    </row>
    <row r="12" spans="2:24" x14ac:dyDescent="0.35">
      <c r="B12" s="1" t="s">
        <v>6</v>
      </c>
      <c r="C12">
        <v>0.26044337261524753</v>
      </c>
      <c r="D12">
        <v>0.99824116248193817</v>
      </c>
      <c r="E12">
        <v>1.607198733857083</v>
      </c>
      <c r="F12">
        <v>1.267753419974516</v>
      </c>
      <c r="G12">
        <v>1.2699099262657381</v>
      </c>
      <c r="H12">
        <v>22</v>
      </c>
      <c r="R12" s="1" t="s">
        <v>6</v>
      </c>
      <c r="S12">
        <v>0.27641432199999999</v>
      </c>
      <c r="T12">
        <v>1.2131435500000001</v>
      </c>
      <c r="U12">
        <v>3.7274268629999998</v>
      </c>
      <c r="V12">
        <v>1.930654517</v>
      </c>
      <c r="W12">
        <v>1.9177256789999999</v>
      </c>
      <c r="X12">
        <v>138</v>
      </c>
    </row>
    <row r="13" spans="2:24" x14ac:dyDescent="0.35">
      <c r="B13" s="1" t="s">
        <v>7</v>
      </c>
      <c r="C13">
        <v>0.25464078470257973</v>
      </c>
      <c r="D13">
        <v>1.647612693579569</v>
      </c>
      <c r="E13">
        <v>10.68039353606461</v>
      </c>
      <c r="F13">
        <v>3.2680871371590769</v>
      </c>
      <c r="G13">
        <v>3.3386118653075272</v>
      </c>
      <c r="H13">
        <v>21</v>
      </c>
      <c r="R13" s="1" t="s">
        <v>7</v>
      </c>
      <c r="S13">
        <v>0.27985100000000002</v>
      </c>
      <c r="T13">
        <v>1.4262087619999999</v>
      </c>
      <c r="U13">
        <v>8.5114798399999998</v>
      </c>
      <c r="V13">
        <v>2.9174440590000001</v>
      </c>
      <c r="W13">
        <v>2.926244048</v>
      </c>
      <c r="X13">
        <v>66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2" t="s">
        <v>13</v>
      </c>
      <c r="D18" t="s">
        <v>25</v>
      </c>
      <c r="J18" s="12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0.28559948627916115</v>
      </c>
      <c r="D20">
        <f>D4/D12</f>
        <v>0.67120963789822952</v>
      </c>
      <c r="E20">
        <f t="shared" ref="D20:G21" si="0">E4/E12</f>
        <v>0.4747982027384367</v>
      </c>
      <c r="F20">
        <f>F4/F12</f>
        <v>0.68905602293168955</v>
      </c>
      <c r="G20">
        <f t="shared" si="0"/>
        <v>0.70378166046716917</v>
      </c>
      <c r="H20">
        <f>H12-H4</f>
        <v>0</v>
      </c>
      <c r="J20" s="8" t="s">
        <v>16</v>
      </c>
      <c r="K20">
        <f>C4-K11</f>
        <v>-0.20857190966391362</v>
      </c>
      <c r="L20">
        <f>D4/L11</f>
        <v>0.43126695922603375</v>
      </c>
      <c r="M20">
        <f>E4/M11</f>
        <v>0.11233071730721199</v>
      </c>
      <c r="N20">
        <f>F4/N11</f>
        <v>0.3351577499006374</v>
      </c>
      <c r="O20">
        <f>G4/O11</f>
        <v>0.33547037336480334</v>
      </c>
      <c r="P20">
        <f>H4-P11</f>
        <v>1</v>
      </c>
      <c r="R20" s="1" t="s">
        <v>6</v>
      </c>
      <c r="S20">
        <f>S12-C4</f>
        <v>0.30157043566391362</v>
      </c>
      <c r="T20">
        <f>D4/T12</f>
        <v>0.55230816600773203</v>
      </c>
      <c r="U20">
        <f t="shared" ref="T20:W21" si="1">E4/U12</f>
        <v>0.20472435766711758</v>
      </c>
      <c r="V20">
        <f t="shared" si="1"/>
        <v>0.45246475841937905</v>
      </c>
      <c r="W20">
        <f t="shared" si="1"/>
        <v>0.46604127291922315</v>
      </c>
      <c r="X20">
        <f>X12-H4</f>
        <v>116</v>
      </c>
    </row>
    <row r="21" spans="2:24" x14ac:dyDescent="0.35">
      <c r="B21" s="1" t="s">
        <v>7</v>
      </c>
      <c r="C21">
        <f>C13-C5</f>
        <v>-0.54433156041221742</v>
      </c>
      <c r="D21">
        <f t="shared" si="0"/>
        <v>0.7003019364027282</v>
      </c>
      <c r="E21">
        <f t="shared" si="0"/>
        <v>0.2562852930550964</v>
      </c>
      <c r="F21">
        <f t="shared" si="0"/>
        <v>0.50624627707776415</v>
      </c>
      <c r="G21">
        <f t="shared" si="0"/>
        <v>0.44465337018550344</v>
      </c>
      <c r="H21">
        <f>H13-H5</f>
        <v>0</v>
      </c>
      <c r="J21" s="11"/>
      <c r="R21" s="1" t="s">
        <v>7</v>
      </c>
      <c r="S21">
        <f>S13-C5</f>
        <v>-0.51912134511479713</v>
      </c>
      <c r="T21">
        <f t="shared" si="1"/>
        <v>0.80901645712613213</v>
      </c>
      <c r="U21">
        <f t="shared" si="1"/>
        <v>0.32159246556284815</v>
      </c>
      <c r="V21">
        <f t="shared" si="1"/>
        <v>0.56709123222043956</v>
      </c>
      <c r="W21">
        <f t="shared" si="1"/>
        <v>0.50731415196382212</v>
      </c>
      <c r="X21">
        <f>X13-H5</f>
        <v>45</v>
      </c>
    </row>
    <row r="22" spans="2:24" x14ac:dyDescent="0.35">
      <c r="J22" s="4"/>
    </row>
    <row r="30" spans="2:24" x14ac:dyDescent="0.35">
      <c r="B30" s="9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2.7440090724371299E-2</v>
      </c>
      <c r="D31">
        <v>2.3776020826814199</v>
      </c>
      <c r="E31">
        <v>21.681543256512452</v>
      </c>
      <c r="F31">
        <v>4.6563444091381871</v>
      </c>
      <c r="G31">
        <v>4.765837689593444</v>
      </c>
      <c r="H31">
        <v>22</v>
      </c>
    </row>
    <row r="32" spans="2:24" x14ac:dyDescent="0.35">
      <c r="B32" s="1" t="s">
        <v>7</v>
      </c>
      <c r="C32">
        <v>-8.6086254067529844E-2</v>
      </c>
      <c r="D32">
        <v>2.508869877523086</v>
      </c>
      <c r="E32">
        <v>19.376206742399269</v>
      </c>
      <c r="F32">
        <v>4.4018412900057262</v>
      </c>
      <c r="G32">
        <v>4.5096824382901826</v>
      </c>
      <c r="H32">
        <v>21</v>
      </c>
    </row>
    <row r="36" spans="2:24" x14ac:dyDescent="0.35">
      <c r="B36" s="12" t="s">
        <v>22</v>
      </c>
      <c r="D36" t="s">
        <v>25</v>
      </c>
      <c r="J36" s="12" t="s">
        <v>26</v>
      </c>
      <c r="R36" s="12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0.23300328189087621</v>
      </c>
      <c r="D38">
        <f>D31/D12</f>
        <v>2.3817912665211693</v>
      </c>
      <c r="E38">
        <f t="shared" ref="E38:G38" si="2">E31/E12</f>
        <v>13.490269000199723</v>
      </c>
      <c r="F38">
        <f t="shared" si="2"/>
        <v>3.6729101541148181</v>
      </c>
      <c r="G38">
        <f t="shared" si="2"/>
        <v>3.752894273066858</v>
      </c>
      <c r="H38">
        <f>H12-H31</f>
        <v>0</v>
      </c>
      <c r="J38" s="8" t="s">
        <v>16</v>
      </c>
      <c r="K38">
        <f>C31-K11</f>
        <v>-0.15597570527562871</v>
      </c>
      <c r="L38">
        <f>D31/L11</f>
        <v>1.5303532890858953</v>
      </c>
      <c r="M38">
        <f t="shared" ref="M38:O38" si="3">E31/M11</f>
        <v>3.1916118989491817</v>
      </c>
      <c r="N38">
        <f t="shared" si="3"/>
        <v>1.7865082981247853</v>
      </c>
      <c r="O38">
        <f t="shared" si="3"/>
        <v>1.7888855503120937</v>
      </c>
      <c r="R38" s="8" t="s">
        <v>16</v>
      </c>
      <c r="S38">
        <f>C31-S12</f>
        <v>-0.24897423127562868</v>
      </c>
      <c r="T38">
        <f>D31/T12</f>
        <v>1.9598687085971152</v>
      </c>
      <c r="U38">
        <f t="shared" ref="U38:W38" si="4">E31/U12</f>
        <v>5.8167588670169579</v>
      </c>
      <c r="V38">
        <f t="shared" si="4"/>
        <v>2.4117957760633293</v>
      </c>
      <c r="W38">
        <f t="shared" si="4"/>
        <v>2.4851508960752899</v>
      </c>
    </row>
    <row r="39" spans="2:24" x14ac:dyDescent="0.35">
      <c r="B39" s="1" t="s">
        <v>7</v>
      </c>
      <c r="C39">
        <f>C13-C32</f>
        <v>0.34072703877010957</v>
      </c>
      <c r="D39">
        <f>D32/D13</f>
        <v>1.5227303645448176</v>
      </c>
      <c r="E39">
        <f t="shared" ref="E39:G39" si="5">E32/E13</f>
        <v>1.8141847186596078</v>
      </c>
      <c r="F39">
        <f t="shared" si="5"/>
        <v>1.3469167452591895</v>
      </c>
      <c r="G39">
        <f t="shared" si="5"/>
        <v>1.3507657134845727</v>
      </c>
      <c r="H39">
        <f>H13-H32</f>
        <v>0</v>
      </c>
    </row>
    <row r="45" spans="2:24" x14ac:dyDescent="0.35">
      <c r="B45" s="10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0.14110049433730051</v>
      </c>
      <c r="D46">
        <v>1.5337011023488749</v>
      </c>
      <c r="E46">
        <v>9.0687903672396128</v>
      </c>
      <c r="F46">
        <v>3.0114432365959698</v>
      </c>
      <c r="G46">
        <v>3.0789251556054622</v>
      </c>
      <c r="H46">
        <v>22</v>
      </c>
    </row>
    <row r="47" spans="2:24" x14ac:dyDescent="0.35">
      <c r="B47" s="1" t="s">
        <v>7</v>
      </c>
      <c r="C47">
        <v>5.4699393845962181E-2</v>
      </c>
      <c r="D47">
        <v>1.557291767126519</v>
      </c>
      <c r="E47">
        <v>8.8575861163796965</v>
      </c>
      <c r="F47">
        <v>2.9761697055745491</v>
      </c>
      <c r="G47">
        <v>3.049151324110893</v>
      </c>
      <c r="H47">
        <v>21</v>
      </c>
    </row>
    <row r="51" spans="2:24" x14ac:dyDescent="0.35">
      <c r="B51" s="12" t="s">
        <v>23</v>
      </c>
      <c r="D51" t="s">
        <v>25</v>
      </c>
      <c r="J51" s="12" t="s">
        <v>28</v>
      </c>
      <c r="R51" s="12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0.11934287827794701</v>
      </c>
      <c r="D53">
        <f>D46/D12</f>
        <v>1.5364033862675195</v>
      </c>
      <c r="E53">
        <f t="shared" ref="E53:G54" si="6">E46/E12</f>
        <v>5.6426067145259688</v>
      </c>
      <c r="F53">
        <f t="shared" si="6"/>
        <v>2.3754171664206631</v>
      </c>
      <c r="G53">
        <f t="shared" si="6"/>
        <v>2.4245224735420914</v>
      </c>
      <c r="H53">
        <f>H12-H46</f>
        <v>0</v>
      </c>
      <c r="J53" s="8" t="s">
        <v>16</v>
      </c>
      <c r="K53">
        <f>C46-K20</f>
        <v>0.34967240400121413</v>
      </c>
      <c r="L53">
        <f>D46/L11</f>
        <v>0.98717297715656394</v>
      </c>
      <c r="M53">
        <f t="shared" ref="M53:O53" si="7">E46/M11</f>
        <v>1.3349630560298693</v>
      </c>
      <c r="N53">
        <f t="shared" si="7"/>
        <v>1.1554060135569322</v>
      </c>
      <c r="O53">
        <f t="shared" si="7"/>
        <v>1.1556928876075256</v>
      </c>
      <c r="R53" s="8" t="s">
        <v>16</v>
      </c>
      <c r="S53">
        <f>C46-S20</f>
        <v>-0.1604699413266131</v>
      </c>
      <c r="T53">
        <f>D46/T12</f>
        <v>1.2642371155077854</v>
      </c>
      <c r="U53">
        <f t="shared" ref="U53:W53" si="8">E46/U12</f>
        <v>2.4329894859266656</v>
      </c>
      <c r="V53">
        <f t="shared" si="8"/>
        <v>1.5598043099266579</v>
      </c>
      <c r="W53">
        <f t="shared" si="8"/>
        <v>1.6055086445997693</v>
      </c>
    </row>
    <row r="54" spans="2:24" x14ac:dyDescent="0.35">
      <c r="B54" s="1" t="s">
        <v>7</v>
      </c>
      <c r="C54">
        <f>C13-C47</f>
        <v>0.19994139085661755</v>
      </c>
      <c r="D54">
        <f>D47/D13</f>
        <v>0.94518072918167395</v>
      </c>
      <c r="E54">
        <f t="shared" si="6"/>
        <v>0.82933143675560095</v>
      </c>
      <c r="F54">
        <f t="shared" si="6"/>
        <v>0.91067636224709436</v>
      </c>
      <c r="G54">
        <f t="shared" si="6"/>
        <v>0.91329913362960768</v>
      </c>
      <c r="H54">
        <f>H13-H47</f>
        <v>0</v>
      </c>
    </row>
    <row r="59" spans="2:24" x14ac:dyDescent="0.35">
      <c r="B59" s="10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-0.121397659438143</v>
      </c>
      <c r="D60">
        <v>1.9477693060047421</v>
      </c>
      <c r="E60">
        <v>16.220499642392099</v>
      </c>
      <c r="F60">
        <v>4.0274681429394441</v>
      </c>
      <c r="G60">
        <v>4.1203719753188413</v>
      </c>
      <c r="H60">
        <v>22</v>
      </c>
    </row>
    <row r="61" spans="2:24" x14ac:dyDescent="0.35">
      <c r="B61" s="1" t="s">
        <v>7</v>
      </c>
      <c r="C61">
        <v>0.14551784952583241</v>
      </c>
      <c r="D61">
        <v>1.8658873827190241</v>
      </c>
      <c r="E61">
        <v>10.86181895358631</v>
      </c>
      <c r="F61">
        <v>3.2957273785291021</v>
      </c>
      <c r="G61">
        <v>3.3738221180892851</v>
      </c>
      <c r="H61">
        <v>21</v>
      </c>
    </row>
    <row r="65" spans="2:24" x14ac:dyDescent="0.35">
      <c r="B65" s="12" t="s">
        <v>24</v>
      </c>
      <c r="D65" t="s">
        <v>25</v>
      </c>
      <c r="J65" s="12" t="s">
        <v>30</v>
      </c>
      <c r="R65" s="12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0.38184103205339054</v>
      </c>
      <c r="D67">
        <f>D60/D12</f>
        <v>1.9512011517958059</v>
      </c>
      <c r="E67">
        <f t="shared" ref="E67:G68" si="9">E60/E12</f>
        <v>10.092404443017982</v>
      </c>
      <c r="F67">
        <f t="shared" si="9"/>
        <v>3.1768544888014603</v>
      </c>
      <c r="G67">
        <f t="shared" si="9"/>
        <v>3.2446175040422691</v>
      </c>
      <c r="H67">
        <f>H12-H60</f>
        <v>0</v>
      </c>
      <c r="J67" s="8" t="s">
        <v>16</v>
      </c>
      <c r="K67">
        <f>K20-C60</f>
        <v>-8.7174250225770619E-2</v>
      </c>
      <c r="L67">
        <f>D60/L11</f>
        <v>1.2536896672227174</v>
      </c>
      <c r="M67">
        <f t="shared" ref="M67:O67" si="10">E60/M11</f>
        <v>2.3877239296612167</v>
      </c>
      <c r="N67">
        <f t="shared" si="10"/>
        <v>1.5452261743512721</v>
      </c>
      <c r="O67">
        <f t="shared" si="10"/>
        <v>1.5466061516642955</v>
      </c>
      <c r="R67" s="8" t="s">
        <v>16</v>
      </c>
      <c r="S67">
        <f>S20-S60</f>
        <v>0.30157043566391362</v>
      </c>
      <c r="T67">
        <f>D60/T12</f>
        <v>1.6055555057806159</v>
      </c>
      <c r="U67">
        <f t="shared" ref="U67:W67" si="11">E60/U12</f>
        <v>4.3516614110939562</v>
      </c>
      <c r="V67">
        <f t="shared" si="11"/>
        <v>2.0860636159791213</v>
      </c>
      <c r="W67">
        <f t="shared" si="11"/>
        <v>2.1485721448269981</v>
      </c>
    </row>
    <row r="68" spans="2:24" x14ac:dyDescent="0.35">
      <c r="B68" s="1" t="s">
        <v>7</v>
      </c>
      <c r="C68">
        <f>C13-C61</f>
        <v>0.10912293517674732</v>
      </c>
      <c r="D68">
        <f>D61/D13</f>
        <v>1.1324793684766024</v>
      </c>
      <c r="E68">
        <f t="shared" si="9"/>
        <v>1.0169867727166679</v>
      </c>
      <c r="F68">
        <f t="shared" si="9"/>
        <v>1.0084576206845124</v>
      </c>
      <c r="G68">
        <f t="shared" si="9"/>
        <v>1.0105463750211989</v>
      </c>
      <c r="H68">
        <f>H13-H61</f>
        <v>0</v>
      </c>
    </row>
  </sheetData>
  <phoneticPr fontId="3" type="noConversion"/>
  <conditionalFormatting sqref="D20:G21">
    <cfRule type="cellIs" dxfId="131" priority="47" operator="lessThan">
      <formula>0</formula>
    </cfRule>
    <cfRule type="cellIs" dxfId="130" priority="46" operator="greaterThan">
      <formula>1</formula>
    </cfRule>
    <cfRule type="cellIs" dxfId="129" priority="45" operator="lessThan">
      <formula>1</formula>
    </cfRule>
    <cfRule type="cellIs" dxfId="128" priority="48" operator="greaterThan">
      <formula>0</formula>
    </cfRule>
  </conditionalFormatting>
  <conditionalFormatting sqref="D38:G39">
    <cfRule type="cellIs" dxfId="127" priority="42" operator="greaterThan">
      <formula>1</formula>
    </cfRule>
    <cfRule type="cellIs" dxfId="126" priority="44" operator="greaterThan">
      <formula>0</formula>
    </cfRule>
    <cfRule type="cellIs" dxfId="125" priority="43" operator="lessThan">
      <formula>0</formula>
    </cfRule>
    <cfRule type="cellIs" dxfId="124" priority="41" operator="lessThan">
      <formula>1</formula>
    </cfRule>
  </conditionalFormatting>
  <conditionalFormatting sqref="D53:G54">
    <cfRule type="cellIs" dxfId="123" priority="40" operator="greaterThan">
      <formula>0</formula>
    </cfRule>
    <cfRule type="cellIs" dxfId="122" priority="39" operator="lessThan">
      <formula>0</formula>
    </cfRule>
    <cfRule type="cellIs" dxfId="121" priority="38" operator="greaterThan">
      <formula>1</formula>
    </cfRule>
    <cfRule type="cellIs" dxfId="120" priority="37" operator="lessThan">
      <formula>1</formula>
    </cfRule>
  </conditionalFormatting>
  <conditionalFormatting sqref="D67:G68">
    <cfRule type="cellIs" dxfId="119" priority="36" operator="greaterThan">
      <formula>0</formula>
    </cfRule>
    <cfRule type="cellIs" dxfId="118" priority="35" operator="lessThan">
      <formula>0</formula>
    </cfRule>
    <cfRule type="cellIs" dxfId="117" priority="34" operator="greaterThan">
      <formula>1</formula>
    </cfRule>
    <cfRule type="cellIs" dxfId="116" priority="33" operator="lessThan">
      <formula>1</formula>
    </cfRule>
  </conditionalFormatting>
  <conditionalFormatting sqref="L20:O20">
    <cfRule type="cellIs" dxfId="115" priority="7" operator="lessThan">
      <formula>0</formula>
    </cfRule>
    <cfRule type="cellIs" dxfId="114" priority="5" operator="lessThan">
      <formula>1</formula>
    </cfRule>
    <cfRule type="cellIs" dxfId="113" priority="6" operator="greaterThan">
      <formula>1</formula>
    </cfRule>
    <cfRule type="cellIs" dxfId="112" priority="8" operator="greaterThan">
      <formula>0</formula>
    </cfRule>
  </conditionalFormatting>
  <conditionalFormatting sqref="L38:O38">
    <cfRule type="cellIs" dxfId="111" priority="31" operator="lessThan">
      <formula>0</formula>
    </cfRule>
    <cfRule type="cellIs" dxfId="110" priority="32" operator="greaterThan">
      <formula>0</formula>
    </cfRule>
    <cfRule type="cellIs" dxfId="109" priority="30" operator="greaterThan">
      <formula>1</formula>
    </cfRule>
    <cfRule type="cellIs" dxfId="108" priority="29" operator="lessThan">
      <formula>1</formula>
    </cfRule>
  </conditionalFormatting>
  <conditionalFormatting sqref="L53:O53">
    <cfRule type="cellIs" dxfId="107" priority="25" operator="lessThan">
      <formula>1</formula>
    </cfRule>
    <cfRule type="cellIs" dxfId="106" priority="26" operator="greaterThan">
      <formula>1</formula>
    </cfRule>
    <cfRule type="cellIs" dxfId="105" priority="27" operator="lessThan">
      <formula>0</formula>
    </cfRule>
    <cfRule type="cellIs" dxfId="104" priority="28" operator="greaterThan">
      <formula>0</formula>
    </cfRule>
  </conditionalFormatting>
  <conditionalFormatting sqref="L67:O67">
    <cfRule type="cellIs" dxfId="103" priority="24" operator="greaterThan">
      <formula>0</formula>
    </cfRule>
    <cfRule type="cellIs" dxfId="102" priority="23" operator="lessThan">
      <formula>0</formula>
    </cfRule>
    <cfRule type="cellIs" dxfId="101" priority="22" operator="greaterThan">
      <formula>1</formula>
    </cfRule>
    <cfRule type="cellIs" dxfId="100" priority="21" operator="lessThan">
      <formula>1</formula>
    </cfRule>
  </conditionalFormatting>
  <conditionalFormatting sqref="T20:W21">
    <cfRule type="cellIs" dxfId="99" priority="1" operator="lessThan">
      <formula>1</formula>
    </cfRule>
    <cfRule type="cellIs" dxfId="98" priority="4" operator="greaterThan">
      <formula>0</formula>
    </cfRule>
    <cfRule type="cellIs" dxfId="97" priority="3" operator="lessThan">
      <formula>0</formula>
    </cfRule>
    <cfRule type="cellIs" dxfId="96" priority="2" operator="greaterThan">
      <formula>1</formula>
    </cfRule>
  </conditionalFormatting>
  <conditionalFormatting sqref="T38:W38">
    <cfRule type="cellIs" dxfId="95" priority="12" operator="greaterThan">
      <formula>0</formula>
    </cfRule>
    <cfRule type="cellIs" dxfId="94" priority="11" operator="lessThan">
      <formula>0</formula>
    </cfRule>
    <cfRule type="cellIs" dxfId="93" priority="10" operator="greaterThan">
      <formula>1</formula>
    </cfRule>
    <cfRule type="cellIs" dxfId="92" priority="9" operator="lessThan">
      <formula>1</formula>
    </cfRule>
  </conditionalFormatting>
  <conditionalFormatting sqref="T53:W53">
    <cfRule type="cellIs" dxfId="91" priority="16" operator="greaterThan">
      <formula>0</formula>
    </cfRule>
    <cfRule type="cellIs" dxfId="90" priority="15" operator="lessThan">
      <formula>0</formula>
    </cfRule>
    <cfRule type="cellIs" dxfId="89" priority="14" operator="greaterThan">
      <formula>1</formula>
    </cfRule>
    <cfRule type="cellIs" dxfId="88" priority="13" operator="lessThan">
      <formula>1</formula>
    </cfRule>
  </conditionalFormatting>
  <conditionalFormatting sqref="T67:W67">
    <cfRule type="cellIs" dxfId="87" priority="19" operator="lessThan">
      <formula>0</formula>
    </cfRule>
    <cfRule type="cellIs" dxfId="86" priority="20" operator="greaterThan">
      <formula>0</formula>
    </cfRule>
    <cfRule type="cellIs" dxfId="85" priority="18" operator="greaterThan">
      <formula>1</formula>
    </cfRule>
    <cfRule type="cellIs" dxfId="84" priority="17" operator="lessThan">
      <formula>1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zoomScale="53" workbookViewId="0">
      <selection activeCell="J56" sqref="J56"/>
    </sheetView>
  </sheetViews>
  <sheetFormatPr baseColWidth="10" defaultRowHeight="14.5" x14ac:dyDescent="0.35"/>
  <sheetData>
    <row r="2" spans="2:24" x14ac:dyDescent="0.35">
      <c r="B2" s="13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4.7225913000000001E-2</v>
      </c>
      <c r="D4">
        <v>0.50763960100000005</v>
      </c>
      <c r="E4">
        <v>0.37059973899999998</v>
      </c>
      <c r="F4">
        <v>0.60876903599999999</v>
      </c>
      <c r="G4">
        <v>0.62453041899999995</v>
      </c>
      <c r="H4">
        <v>18</v>
      </c>
    </row>
    <row r="5" spans="2:24" x14ac:dyDescent="0.35">
      <c r="B5" s="1" t="s">
        <v>7</v>
      </c>
      <c r="C5">
        <v>0.472701965</v>
      </c>
      <c r="D5">
        <v>0.78383107100000005</v>
      </c>
      <c r="E5">
        <v>0.94100002400000005</v>
      </c>
      <c r="F5">
        <v>0.97005155799999998</v>
      </c>
      <c r="G5">
        <v>0.87315515899999996</v>
      </c>
      <c r="H5">
        <v>17</v>
      </c>
    </row>
    <row r="9" spans="2:24" x14ac:dyDescent="0.35">
      <c r="B9" s="13" t="s">
        <v>21</v>
      </c>
    </row>
    <row r="10" spans="2:24" ht="72.5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3.2931098875157352E-3</v>
      </c>
      <c r="D11">
        <v>0.64745741038476967</v>
      </c>
      <c r="E11">
        <v>0.8785104420866513</v>
      </c>
      <c r="F11">
        <v>0.9372888786743665</v>
      </c>
      <c r="G11">
        <v>0.9644563465634427</v>
      </c>
      <c r="H11">
        <v>18</v>
      </c>
      <c r="J11" s="1" t="s">
        <v>8</v>
      </c>
      <c r="K11">
        <v>0.1173111006628075</v>
      </c>
      <c r="L11">
        <v>0.77506344401362626</v>
      </c>
      <c r="M11">
        <v>0.9090828250629025</v>
      </c>
      <c r="N11">
        <v>0.95345834993611678</v>
      </c>
      <c r="O11">
        <v>0.9753350649363759</v>
      </c>
      <c r="P11">
        <v>17</v>
      </c>
      <c r="R11" s="1" t="s">
        <v>8</v>
      </c>
      <c r="S11">
        <v>1.1373201272240809E-2</v>
      </c>
      <c r="T11">
        <v>0.65087255491763085</v>
      </c>
      <c r="U11">
        <v>0.88563587160923762</v>
      </c>
      <c r="V11">
        <v>0.94108228737408384</v>
      </c>
      <c r="W11">
        <v>0.95364518066318271</v>
      </c>
      <c r="X11">
        <v>38</v>
      </c>
    </row>
    <row r="12" spans="2:24" x14ac:dyDescent="0.35">
      <c r="B12" s="1" t="s">
        <v>6</v>
      </c>
      <c r="C12">
        <v>6.4547883463346445E-2</v>
      </c>
      <c r="D12">
        <v>0.686889404025538</v>
      </c>
      <c r="E12">
        <v>0.7745590748674015</v>
      </c>
      <c r="F12">
        <v>0.88009037880629137</v>
      </c>
      <c r="G12">
        <v>0.90316657381422261</v>
      </c>
      <c r="H12">
        <v>18</v>
      </c>
      <c r="R12" s="1" t="s">
        <v>6</v>
      </c>
      <c r="S12">
        <v>0.2068936910675003</v>
      </c>
      <c r="T12">
        <v>0.80337967456022996</v>
      </c>
      <c r="U12">
        <v>1.0917531281385069</v>
      </c>
      <c r="V12">
        <v>1.0448699096722549</v>
      </c>
      <c r="W12">
        <v>1.0286639043486661</v>
      </c>
      <c r="X12">
        <v>115</v>
      </c>
    </row>
    <row r="13" spans="2:24" x14ac:dyDescent="0.35">
      <c r="B13" s="1" t="s">
        <v>7</v>
      </c>
      <c r="C13">
        <v>0.23503913360137901</v>
      </c>
      <c r="D13">
        <v>0.76102431256141156</v>
      </c>
      <c r="E13">
        <v>0.9288084006716909</v>
      </c>
      <c r="F13">
        <v>0.96374706260081067</v>
      </c>
      <c r="G13">
        <v>0.96341207136112283</v>
      </c>
      <c r="H13">
        <v>17</v>
      </c>
      <c r="R13" s="1" t="s">
        <v>7</v>
      </c>
      <c r="S13">
        <v>2.850856293769656E-2</v>
      </c>
      <c r="T13">
        <v>0.65559497970455971</v>
      </c>
      <c r="U13">
        <v>0.65605659570123087</v>
      </c>
      <c r="V13">
        <v>0.8099732067798483</v>
      </c>
      <c r="W13">
        <v>0.8169320675860795</v>
      </c>
      <c r="X13">
        <v>55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2" t="s">
        <v>13</v>
      </c>
      <c r="D18" t="s">
        <v>25</v>
      </c>
      <c r="J18" s="12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1.7321970463346444E-2</v>
      </c>
      <c r="D20">
        <f>D4/D12</f>
        <v>0.73904124597782617</v>
      </c>
      <c r="E20">
        <f t="shared" ref="D20:G21" si="0">E4/E12</f>
        <v>0.47846542765436423</v>
      </c>
      <c r="F20">
        <f>F4/F12</f>
        <v>0.69171195443097844</v>
      </c>
      <c r="G20">
        <f t="shared" si="0"/>
        <v>0.69148973966397376</v>
      </c>
      <c r="H20">
        <f>H12-H4</f>
        <v>0</v>
      </c>
      <c r="J20" s="8" t="s">
        <v>16</v>
      </c>
      <c r="K20">
        <f>C4-K11</f>
        <v>-7.0085187662807497E-2</v>
      </c>
      <c r="L20">
        <f>D4/L11</f>
        <v>0.6549652224225857</v>
      </c>
      <c r="M20">
        <f>E4/M11</f>
        <v>0.40766333801802596</v>
      </c>
      <c r="N20">
        <f>F4/N11</f>
        <v>0.6384851902978127</v>
      </c>
      <c r="O20">
        <f>G4/O11</f>
        <v>0.64032396809268821</v>
      </c>
      <c r="P20">
        <f>H4-P11</f>
        <v>1</v>
      </c>
      <c r="R20" s="1" t="s">
        <v>6</v>
      </c>
      <c r="S20">
        <f>S12-C4</f>
        <v>0.15966777806750029</v>
      </c>
      <c r="T20">
        <f>D4/T12</f>
        <v>0.63188006502390293</v>
      </c>
      <c r="U20">
        <f t="shared" ref="T20:W21" si="1">E4/U12</f>
        <v>0.33945379174858958</v>
      </c>
      <c r="V20">
        <f t="shared" si="1"/>
        <v>0.58262663166456097</v>
      </c>
      <c r="W20">
        <f t="shared" si="1"/>
        <v>0.60712776676600011</v>
      </c>
      <c r="X20">
        <f>X12-H4</f>
        <v>97</v>
      </c>
    </row>
    <row r="21" spans="2:24" x14ac:dyDescent="0.35">
      <c r="B21" s="1" t="s">
        <v>7</v>
      </c>
      <c r="C21">
        <f>C13-C5</f>
        <v>-0.23766283139862099</v>
      </c>
      <c r="D21">
        <f t="shared" si="0"/>
        <v>1.0299685017444802</v>
      </c>
      <c r="E21">
        <f t="shared" si="0"/>
        <v>1.0131260907195634</v>
      </c>
      <c r="F21">
        <f t="shared" si="0"/>
        <v>1.0065416494055772</v>
      </c>
      <c r="G21">
        <f t="shared" si="0"/>
        <v>0.90631536074318997</v>
      </c>
      <c r="H21">
        <f>H13-H5</f>
        <v>0</v>
      </c>
      <c r="J21" s="11"/>
      <c r="R21" s="1" t="s">
        <v>7</v>
      </c>
      <c r="S21">
        <f>S13-C5</f>
        <v>-0.44419340206230346</v>
      </c>
      <c r="T21">
        <f t="shared" si="1"/>
        <v>1.1956026132982733</v>
      </c>
      <c r="U21">
        <f t="shared" si="1"/>
        <v>1.4343275110193889</v>
      </c>
      <c r="V21">
        <f t="shared" si="1"/>
        <v>1.1976341314505496</v>
      </c>
      <c r="W21">
        <f t="shared" si="1"/>
        <v>1.0688222358317403</v>
      </c>
      <c r="X21">
        <f>X13-H5</f>
        <v>38</v>
      </c>
    </row>
    <row r="22" spans="2:24" x14ac:dyDescent="0.35">
      <c r="J22" s="4"/>
    </row>
    <row r="30" spans="2:24" x14ac:dyDescent="0.35">
      <c r="B30" s="9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-8.2417649032739092E-3</v>
      </c>
      <c r="D31">
        <v>0.90058651451515892</v>
      </c>
      <c r="E31">
        <v>1.4262153432560449</v>
      </c>
      <c r="F31">
        <v>1.19424258141135</v>
      </c>
      <c r="G31">
        <v>1.22883621409498</v>
      </c>
      <c r="H31">
        <v>18</v>
      </c>
    </row>
    <row r="32" spans="2:24" x14ac:dyDescent="0.35">
      <c r="B32" s="1" t="s">
        <v>7</v>
      </c>
      <c r="C32">
        <v>-8.2662742559268365E-2</v>
      </c>
      <c r="D32">
        <v>0.80656601657899663</v>
      </c>
      <c r="E32">
        <v>1.5673473931001589</v>
      </c>
      <c r="F32">
        <v>1.251937455746156</v>
      </c>
      <c r="G32">
        <v>1.2876515078228801</v>
      </c>
      <c r="H32">
        <v>17</v>
      </c>
    </row>
    <row r="36" spans="2:24" x14ac:dyDescent="0.35">
      <c r="B36" s="12" t="s">
        <v>22</v>
      </c>
      <c r="D36" t="s">
        <v>25</v>
      </c>
      <c r="J36" s="12" t="s">
        <v>26</v>
      </c>
      <c r="R36" s="12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7.2789648366620358E-2</v>
      </c>
      <c r="D38">
        <f>D31/D12</f>
        <v>1.3111084684626695</v>
      </c>
      <c r="E38">
        <f t="shared" ref="E38:G39" si="2">E31/E12</f>
        <v>1.8413254579713005</v>
      </c>
      <c r="F38">
        <f t="shared" si="2"/>
        <v>1.3569544789606247</v>
      </c>
      <c r="G38">
        <f t="shared" si="2"/>
        <v>1.360586462921674</v>
      </c>
      <c r="H38">
        <f>H12-H31</f>
        <v>0</v>
      </c>
      <c r="J38" s="8" t="s">
        <v>16</v>
      </c>
      <c r="K38">
        <f>C31-K11</f>
        <v>-0.12555286556608142</v>
      </c>
      <c r="L38">
        <f>D31/L11</f>
        <v>1.1619519943445118</v>
      </c>
      <c r="M38">
        <f t="shared" ref="M38:O38" si="3">E31/M11</f>
        <v>1.5688508284790885</v>
      </c>
      <c r="N38">
        <f t="shared" si="3"/>
        <v>1.2525377553108283</v>
      </c>
      <c r="O38">
        <f t="shared" si="3"/>
        <v>1.2599118582649755</v>
      </c>
      <c r="R38" s="8" t="s">
        <v>16</v>
      </c>
      <c r="S38">
        <f>C31-S12</f>
        <v>-0.21513545597077421</v>
      </c>
      <c r="T38">
        <f>D31/T12</f>
        <v>1.1209973852128385</v>
      </c>
      <c r="U38">
        <f t="shared" ref="U38:W38" si="4">E31/U12</f>
        <v>1.3063533380369723</v>
      </c>
      <c r="V38">
        <f t="shared" si="4"/>
        <v>1.1429581523559702</v>
      </c>
      <c r="W38">
        <f t="shared" si="4"/>
        <v>1.194594472402587</v>
      </c>
    </row>
    <row r="39" spans="2:24" x14ac:dyDescent="0.35">
      <c r="B39" s="1" t="s">
        <v>7</v>
      </c>
      <c r="C39">
        <f>C13-C32</f>
        <v>0.31770187616064738</v>
      </c>
      <c r="D39">
        <f>D32/D13</f>
        <v>1.0598426400653396</v>
      </c>
      <c r="E39">
        <f t="shared" si="2"/>
        <v>1.6874819305754476</v>
      </c>
      <c r="F39">
        <f t="shared" si="2"/>
        <v>1.2990311507332868</v>
      </c>
      <c r="G39">
        <f t="shared" si="2"/>
        <v>1.3365532217212797</v>
      </c>
      <c r="H39">
        <f>H13-H32</f>
        <v>0</v>
      </c>
    </row>
    <row r="45" spans="2:24" x14ac:dyDescent="0.35">
      <c r="B45" s="10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3.5849611308149398E-3</v>
      </c>
      <c r="D46">
        <v>0.69312425313119319</v>
      </c>
      <c r="E46">
        <v>0.78424957978886423</v>
      </c>
      <c r="F46">
        <v>0.88557866945227637</v>
      </c>
      <c r="G46">
        <v>0.91124546641867432</v>
      </c>
      <c r="H46">
        <v>18</v>
      </c>
    </row>
    <row r="47" spans="2:24" x14ac:dyDescent="0.35">
      <c r="B47" s="1" t="s">
        <v>7</v>
      </c>
      <c r="C47">
        <v>-4.331857812912171E-2</v>
      </c>
      <c r="D47">
        <v>0.76258676816894078</v>
      </c>
      <c r="E47">
        <v>0.96034489461557271</v>
      </c>
      <c r="F47">
        <v>0.97997188460464146</v>
      </c>
      <c r="G47">
        <v>1.009144523899933</v>
      </c>
      <c r="H47">
        <v>17</v>
      </c>
    </row>
    <row r="51" spans="2:24" x14ac:dyDescent="0.35">
      <c r="B51" s="12" t="s">
        <v>23</v>
      </c>
      <c r="D51" t="s">
        <v>25</v>
      </c>
      <c r="J51" s="12" t="s">
        <v>28</v>
      </c>
      <c r="R51" s="12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6.0962922332531505E-2</v>
      </c>
      <c r="D53">
        <f>D46/D12</f>
        <v>1.0090769330100533</v>
      </c>
      <c r="E53">
        <f t="shared" ref="E53:G54" si="5">E46/E12</f>
        <v>1.0125109952693043</v>
      </c>
      <c r="F53">
        <f t="shared" si="5"/>
        <v>1.0062360534533159</v>
      </c>
      <c r="G53">
        <f t="shared" si="5"/>
        <v>1.0089450748496296</v>
      </c>
      <c r="H53">
        <f>H12-H46</f>
        <v>0</v>
      </c>
      <c r="J53" s="8" t="s">
        <v>16</v>
      </c>
      <c r="K53">
        <f>C46-K20</f>
        <v>7.3670148793622436E-2</v>
      </c>
      <c r="L53">
        <f>D46/L11</f>
        <v>0.89428066629214875</v>
      </c>
      <c r="M53">
        <f t="shared" ref="M53:O53" si="6">E46/M11</f>
        <v>0.8626822091096038</v>
      </c>
      <c r="N53">
        <f t="shared" si="6"/>
        <v>0.92880687395690809</v>
      </c>
      <c r="O53">
        <f t="shared" si="6"/>
        <v>0.93428966021858106</v>
      </c>
      <c r="R53" s="8" t="s">
        <v>16</v>
      </c>
      <c r="S53">
        <f>C46-S20</f>
        <v>-0.15608281693668535</v>
      </c>
      <c r="T53">
        <f>D46/T12</f>
        <v>0.86276050425424244</v>
      </c>
      <c r="U53">
        <f t="shared" ref="U53:W53" si="7">E46/U12</f>
        <v>0.71833966816843342</v>
      </c>
      <c r="V53">
        <f t="shared" si="7"/>
        <v>0.84754921282981199</v>
      </c>
      <c r="W53">
        <f t="shared" si="7"/>
        <v>0.88585344792054377</v>
      </c>
    </row>
    <row r="54" spans="2:24" x14ac:dyDescent="0.35">
      <c r="B54" s="1" t="s">
        <v>7</v>
      </c>
      <c r="C54">
        <f>C13-C47</f>
        <v>0.27835771173050072</v>
      </c>
      <c r="D54">
        <f>D47/D13</f>
        <v>1.0020530955210489</v>
      </c>
      <c r="E54">
        <f t="shared" si="5"/>
        <v>1.0339537130812722</v>
      </c>
      <c r="F54">
        <f t="shared" si="5"/>
        <v>1.0168351454789868</v>
      </c>
      <c r="G54">
        <f t="shared" si="5"/>
        <v>1.0474692542249329</v>
      </c>
      <c r="H54">
        <f>H13-H47</f>
        <v>0</v>
      </c>
    </row>
    <row r="59" spans="2:24" x14ac:dyDescent="0.35">
      <c r="B59" s="10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0.29308269598144482</v>
      </c>
      <c r="D60">
        <v>0.66827815374575927</v>
      </c>
      <c r="E60">
        <v>0.69255224903806956</v>
      </c>
      <c r="F60">
        <v>0.83219724166694375</v>
      </c>
      <c r="G60">
        <v>0.80146138883100571</v>
      </c>
      <c r="H60">
        <v>18</v>
      </c>
    </row>
    <row r="61" spans="2:24" x14ac:dyDescent="0.35">
      <c r="B61" s="1" t="s">
        <v>7</v>
      </c>
      <c r="C61">
        <v>0.18274547905469171</v>
      </c>
      <c r="D61">
        <v>0.67272798900214137</v>
      </c>
      <c r="E61">
        <v>0.6525583053959112</v>
      </c>
      <c r="F61">
        <v>0.80781081039802338</v>
      </c>
      <c r="G61">
        <v>0.81108571987555289</v>
      </c>
      <c r="H61">
        <v>17</v>
      </c>
    </row>
    <row r="65" spans="2:24" x14ac:dyDescent="0.35">
      <c r="B65" s="12" t="s">
        <v>24</v>
      </c>
      <c r="D65" t="s">
        <v>25</v>
      </c>
      <c r="J65" s="12" t="s">
        <v>30</v>
      </c>
      <c r="R65" s="12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-0.22853481251809837</v>
      </c>
      <c r="D67">
        <f>D60/D12</f>
        <v>0.97290502638313114</v>
      </c>
      <c r="E67">
        <f t="shared" ref="E67:G68" si="8">E60/E12</f>
        <v>0.894124504521013</v>
      </c>
      <c r="F67">
        <f t="shared" si="8"/>
        <v>0.94558156946982264</v>
      </c>
      <c r="G67">
        <f t="shared" si="8"/>
        <v>0.88739044609047146</v>
      </c>
      <c r="H67">
        <f>H12-H60</f>
        <v>0</v>
      </c>
      <c r="J67" s="8" t="s">
        <v>16</v>
      </c>
      <c r="K67">
        <f>K20-C60</f>
        <v>-0.36316788364425234</v>
      </c>
      <c r="L67">
        <f>D60/L11</f>
        <v>0.86222380749260363</v>
      </c>
      <c r="M67">
        <f t="shared" ref="M67:O67" si="9">E60/M11</f>
        <v>0.76181424832236766</v>
      </c>
      <c r="N67">
        <f t="shared" si="9"/>
        <v>0.87281971123615654</v>
      </c>
      <c r="O67">
        <f t="shared" si="9"/>
        <v>0.82172928836849257</v>
      </c>
      <c r="R67" s="8" t="s">
        <v>16</v>
      </c>
      <c r="S67">
        <f>S20-S60</f>
        <v>0.15966777806750029</v>
      </c>
      <c r="T67">
        <f>D60/T12</f>
        <v>0.83183353389115144</v>
      </c>
      <c r="U67">
        <f t="shared" ref="U67:W67" si="10">E60/U12</f>
        <v>0.63434876547494345</v>
      </c>
      <c r="V67">
        <f t="shared" si="10"/>
        <v>0.79646014682151167</v>
      </c>
      <c r="W67">
        <f t="shared" si="10"/>
        <v>0.77912852336203875</v>
      </c>
    </row>
    <row r="68" spans="2:24" x14ac:dyDescent="0.35">
      <c r="B68" s="1" t="s">
        <v>7</v>
      </c>
      <c r="C68">
        <f>C13-C61</f>
        <v>5.2293654546687302E-2</v>
      </c>
      <c r="D68">
        <f>D61/D13</f>
        <v>0.8839770003377585</v>
      </c>
      <c r="E68">
        <f t="shared" si="8"/>
        <v>0.70257580026623079</v>
      </c>
      <c r="F68">
        <f t="shared" si="8"/>
        <v>0.83819794814007442</v>
      </c>
      <c r="G68">
        <f t="shared" si="8"/>
        <v>0.84188868292841601</v>
      </c>
      <c r="H68">
        <f>H13-H61</f>
        <v>0</v>
      </c>
    </row>
  </sheetData>
  <conditionalFormatting sqref="D20:G21">
    <cfRule type="cellIs" dxfId="83" priority="47" operator="lessThan">
      <formula>0</formula>
    </cfRule>
    <cfRule type="cellIs" dxfId="82" priority="46" operator="greaterThan">
      <formula>1</formula>
    </cfRule>
    <cfRule type="cellIs" dxfId="81" priority="45" operator="lessThan">
      <formula>1</formula>
    </cfRule>
    <cfRule type="cellIs" dxfId="80" priority="48" operator="greaterThan">
      <formula>0</formula>
    </cfRule>
  </conditionalFormatting>
  <conditionalFormatting sqref="D38:G39">
    <cfRule type="cellIs" dxfId="79" priority="42" operator="greaterThan">
      <formula>1</formula>
    </cfRule>
    <cfRule type="cellIs" dxfId="78" priority="44" operator="greaterThan">
      <formula>0</formula>
    </cfRule>
    <cfRule type="cellIs" dxfId="77" priority="43" operator="lessThan">
      <formula>0</formula>
    </cfRule>
    <cfRule type="cellIs" dxfId="76" priority="41" operator="lessThan">
      <formula>1</formula>
    </cfRule>
  </conditionalFormatting>
  <conditionalFormatting sqref="D53:G54">
    <cfRule type="cellIs" dxfId="75" priority="40" operator="greaterThan">
      <formula>0</formula>
    </cfRule>
    <cfRule type="cellIs" dxfId="74" priority="39" operator="lessThan">
      <formula>0</formula>
    </cfRule>
    <cfRule type="cellIs" dxfId="73" priority="38" operator="greaterThan">
      <formula>1</formula>
    </cfRule>
    <cfRule type="cellIs" dxfId="72" priority="37" operator="lessThan">
      <formula>1</formula>
    </cfRule>
  </conditionalFormatting>
  <conditionalFormatting sqref="D67:G68">
    <cfRule type="cellIs" dxfId="71" priority="36" operator="greaterThan">
      <formula>0</formula>
    </cfRule>
    <cfRule type="cellIs" dxfId="70" priority="35" operator="lessThan">
      <formula>0</formula>
    </cfRule>
    <cfRule type="cellIs" dxfId="69" priority="34" operator="greaterThan">
      <formula>1</formula>
    </cfRule>
    <cfRule type="cellIs" dxfId="68" priority="33" operator="lessThan">
      <formula>1</formula>
    </cfRule>
  </conditionalFormatting>
  <conditionalFormatting sqref="L20:O20">
    <cfRule type="cellIs" dxfId="67" priority="7" operator="lessThan">
      <formula>0</formula>
    </cfRule>
    <cfRule type="cellIs" dxfId="66" priority="5" operator="lessThan">
      <formula>1</formula>
    </cfRule>
    <cfRule type="cellIs" dxfId="65" priority="6" operator="greaterThan">
      <formula>1</formula>
    </cfRule>
    <cfRule type="cellIs" dxfId="64" priority="8" operator="greaterThan">
      <formula>0</formula>
    </cfRule>
  </conditionalFormatting>
  <conditionalFormatting sqref="L38:O38">
    <cfRule type="cellIs" dxfId="63" priority="31" operator="lessThan">
      <formula>0</formula>
    </cfRule>
    <cfRule type="cellIs" dxfId="62" priority="32" operator="greaterThan">
      <formula>0</formula>
    </cfRule>
    <cfRule type="cellIs" dxfId="61" priority="30" operator="greaterThan">
      <formula>1</formula>
    </cfRule>
    <cfRule type="cellIs" dxfId="60" priority="29" operator="lessThan">
      <formula>1</formula>
    </cfRule>
  </conditionalFormatting>
  <conditionalFormatting sqref="L53:O53">
    <cfRule type="cellIs" dxfId="59" priority="25" operator="lessThan">
      <formula>1</formula>
    </cfRule>
    <cfRule type="cellIs" dxfId="58" priority="26" operator="greaterThan">
      <formula>1</formula>
    </cfRule>
    <cfRule type="cellIs" dxfId="57" priority="27" operator="lessThan">
      <formula>0</formula>
    </cfRule>
    <cfRule type="cellIs" dxfId="56" priority="28" operator="greaterThan">
      <formula>0</formula>
    </cfRule>
  </conditionalFormatting>
  <conditionalFormatting sqref="L67:O67">
    <cfRule type="cellIs" dxfId="55" priority="24" operator="greaterThan">
      <formula>0</formula>
    </cfRule>
    <cfRule type="cellIs" dxfId="54" priority="23" operator="lessThan">
      <formula>0</formula>
    </cfRule>
    <cfRule type="cellIs" dxfId="53" priority="22" operator="greaterThan">
      <formula>1</formula>
    </cfRule>
    <cfRule type="cellIs" dxfId="52" priority="21" operator="lessThan">
      <formula>1</formula>
    </cfRule>
  </conditionalFormatting>
  <conditionalFormatting sqref="T20:W21">
    <cfRule type="cellIs" dxfId="51" priority="1" operator="lessThan">
      <formula>1</formula>
    </cfRule>
    <cfRule type="cellIs" dxfId="50" priority="4" operator="greaterThan">
      <formula>0</formula>
    </cfRule>
    <cfRule type="cellIs" dxfId="49" priority="3" operator="lessThan">
      <formula>0</formula>
    </cfRule>
    <cfRule type="cellIs" dxfId="48" priority="2" operator="greaterThan">
      <formula>1</formula>
    </cfRule>
  </conditionalFormatting>
  <conditionalFormatting sqref="T38:W38">
    <cfRule type="cellIs" dxfId="47" priority="12" operator="greaterThan">
      <formula>0</formula>
    </cfRule>
    <cfRule type="cellIs" dxfId="46" priority="11" operator="lessThan">
      <formula>0</formula>
    </cfRule>
    <cfRule type="cellIs" dxfId="45" priority="10" operator="greaterThan">
      <formula>1</formula>
    </cfRule>
    <cfRule type="cellIs" dxfId="44" priority="9" operator="lessThan">
      <formula>1</formula>
    </cfRule>
  </conditionalFormatting>
  <conditionalFormatting sqref="T53:W53">
    <cfRule type="cellIs" dxfId="43" priority="16" operator="greaterThan">
      <formula>0</formula>
    </cfRule>
    <cfRule type="cellIs" dxfId="42" priority="15" operator="lessThan">
      <formula>0</formula>
    </cfRule>
    <cfRule type="cellIs" dxfId="41" priority="14" operator="greaterThan">
      <formula>1</formula>
    </cfRule>
    <cfRule type="cellIs" dxfId="40" priority="13" operator="lessThan">
      <formula>1</formula>
    </cfRule>
  </conditionalFormatting>
  <conditionalFormatting sqref="T67:W67">
    <cfRule type="cellIs" dxfId="39" priority="19" operator="lessThan">
      <formula>0</formula>
    </cfRule>
    <cfRule type="cellIs" dxfId="38" priority="20" operator="greaterThan">
      <formula>0</formula>
    </cfRule>
    <cfRule type="cellIs" dxfId="37" priority="18" operator="greaterThan">
      <formula>1</formula>
    </cfRule>
    <cfRule type="cellIs" dxfId="36" priority="17" operator="less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tabSelected="1" topLeftCell="A21" zoomScale="72" workbookViewId="0">
      <selection activeCell="J49" sqref="J49"/>
    </sheetView>
  </sheetViews>
  <sheetFormatPr baseColWidth="10" defaultRowHeight="14.5" x14ac:dyDescent="0.35"/>
  <sheetData>
    <row r="2" spans="2:24" x14ac:dyDescent="0.35">
      <c r="B2" s="13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8.6318062172388313E-2</v>
      </c>
      <c r="D4">
        <v>0.23364214203255959</v>
      </c>
      <c r="E4">
        <v>6.5956924848573226E-2</v>
      </c>
      <c r="F4">
        <v>0.25682080299028198</v>
      </c>
      <c r="G4">
        <v>0.25101113028942601</v>
      </c>
      <c r="H4">
        <v>14</v>
      </c>
    </row>
    <row r="5" spans="2:24" x14ac:dyDescent="0.35">
      <c r="B5" s="1" t="s">
        <v>7</v>
      </c>
      <c r="C5">
        <v>0.31915918093421319</v>
      </c>
      <c r="D5">
        <v>0.36018831591037592</v>
      </c>
      <c r="E5">
        <v>0.19136360771699709</v>
      </c>
      <c r="F5">
        <v>0.43745126324768691</v>
      </c>
      <c r="G5">
        <v>0.31138311400523799</v>
      </c>
      <c r="H5">
        <v>13</v>
      </c>
    </row>
    <row r="9" spans="2:24" x14ac:dyDescent="0.35">
      <c r="B9" s="13" t="s">
        <v>21</v>
      </c>
    </row>
    <row r="10" spans="2:24" ht="72.5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-4.4909366032619032E-2</v>
      </c>
      <c r="D11">
        <v>0.50244302677463271</v>
      </c>
      <c r="E11">
        <v>0.59338865934780594</v>
      </c>
      <c r="F11">
        <v>0.77031724591093376</v>
      </c>
      <c r="G11">
        <v>0.79803630699481343</v>
      </c>
      <c r="H11">
        <v>14</v>
      </c>
      <c r="J11" s="1" t="s">
        <v>8</v>
      </c>
      <c r="K11">
        <v>0.1859961659266656</v>
      </c>
      <c r="L11">
        <v>0.7720642043441891</v>
      </c>
      <c r="M11">
        <v>0.95330252820940398</v>
      </c>
      <c r="N11">
        <v>0.97637212588715583</v>
      </c>
      <c r="O11">
        <v>0.99763066847196324</v>
      </c>
      <c r="P11">
        <v>13</v>
      </c>
      <c r="R11" s="1" t="s">
        <v>8</v>
      </c>
      <c r="S11">
        <v>2.8714404792539391E-2</v>
      </c>
      <c r="T11">
        <v>0.54188533643574388</v>
      </c>
      <c r="U11">
        <v>0.62195547092045544</v>
      </c>
      <c r="V11">
        <v>0.78864153512255197</v>
      </c>
      <c r="W11">
        <v>0.80159170569079297</v>
      </c>
      <c r="X11">
        <v>30</v>
      </c>
    </row>
    <row r="12" spans="2:24" x14ac:dyDescent="0.35">
      <c r="B12" s="1" t="s">
        <v>6</v>
      </c>
      <c r="C12">
        <v>0.1162344330806182</v>
      </c>
      <c r="D12">
        <v>0.65228933636594777</v>
      </c>
      <c r="E12">
        <v>0.69344817972957762</v>
      </c>
      <c r="F12">
        <v>0.83273535996112091</v>
      </c>
      <c r="G12">
        <v>0.85571060475373639</v>
      </c>
      <c r="H12">
        <v>14</v>
      </c>
      <c r="R12" s="1" t="s">
        <v>6</v>
      </c>
      <c r="S12">
        <v>0.17451770154118529</v>
      </c>
      <c r="T12">
        <v>0.71256574334032063</v>
      </c>
      <c r="U12">
        <v>0.8223404025322042</v>
      </c>
      <c r="V12">
        <v>0.90682986415986777</v>
      </c>
      <c r="W12">
        <v>0.89486398247266585</v>
      </c>
      <c r="X12">
        <v>90</v>
      </c>
    </row>
    <row r="13" spans="2:24" x14ac:dyDescent="0.35">
      <c r="B13" s="1" t="s">
        <v>7</v>
      </c>
      <c r="C13">
        <v>0.22284569834033299</v>
      </c>
      <c r="D13">
        <v>0.75742384783049554</v>
      </c>
      <c r="E13">
        <v>0.88923713919155334</v>
      </c>
      <c r="F13">
        <v>0.94299371110922758</v>
      </c>
      <c r="G13">
        <v>0.95369894537863797</v>
      </c>
      <c r="H13">
        <v>13</v>
      </c>
      <c r="R13" s="1" t="s">
        <v>7</v>
      </c>
      <c r="S13">
        <v>4.5176242610162017E-2</v>
      </c>
      <c r="T13">
        <v>0.69148805993004081</v>
      </c>
      <c r="U13">
        <v>0.71924096518928615</v>
      </c>
      <c r="V13">
        <v>0.84808075393165605</v>
      </c>
      <c r="W13">
        <v>0.85714220347792058</v>
      </c>
      <c r="X13">
        <v>42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2" t="s">
        <v>13</v>
      </c>
      <c r="D18" t="s">
        <v>25</v>
      </c>
      <c r="J18" s="12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2.9916370908229892E-2</v>
      </c>
      <c r="D20">
        <f>D4/D12</f>
        <v>0.35818789148728553</v>
      </c>
      <c r="E20">
        <f t="shared" ref="D20:F21" si="0">E4/E12</f>
        <v>9.5114424951399101E-2</v>
      </c>
      <c r="F20">
        <f>F4/F12</f>
        <v>0.30840626607025856</v>
      </c>
      <c r="G20">
        <f>G4/G12</f>
        <v>0.2933364725118302</v>
      </c>
      <c r="H20">
        <f>H12-H4</f>
        <v>0</v>
      </c>
      <c r="J20" s="8" t="s">
        <v>16</v>
      </c>
      <c r="K20">
        <f>C4-K11</f>
        <v>-9.9678103754277284E-2</v>
      </c>
      <c r="L20">
        <f>D4/L11</f>
        <v>0.30262009392213846</v>
      </c>
      <c r="M20">
        <f>E4/M11</f>
        <v>6.9187821176201703E-2</v>
      </c>
      <c r="N20">
        <f>F4/N11</f>
        <v>0.26303577927004856</v>
      </c>
      <c r="O20">
        <f>G4/O11</f>
        <v>0.25160727133007166</v>
      </c>
      <c r="P20">
        <f>H4-P11</f>
        <v>1</v>
      </c>
      <c r="R20" s="1" t="s">
        <v>6</v>
      </c>
      <c r="S20">
        <f>S12-C4</f>
        <v>8.8199639368796975E-2</v>
      </c>
      <c r="T20">
        <f>D4/T12</f>
        <v>0.32788854111524746</v>
      </c>
      <c r="U20">
        <f t="shared" ref="T20:W21" si="1">E4/U12</f>
        <v>8.0206353288096222E-2</v>
      </c>
      <c r="V20">
        <f t="shared" si="1"/>
        <v>0.28320726206807662</v>
      </c>
      <c r="W20">
        <f t="shared" si="1"/>
        <v>0.28050199271160553</v>
      </c>
      <c r="X20">
        <f>X12-H4</f>
        <v>76</v>
      </c>
    </row>
    <row r="21" spans="2:24" x14ac:dyDescent="0.35">
      <c r="B21" s="1" t="s">
        <v>7</v>
      </c>
      <c r="C21">
        <f>C13-C5</f>
        <v>-9.6313482593880201E-2</v>
      </c>
      <c r="D21">
        <f t="shared" si="0"/>
        <v>0.47554393348198715</v>
      </c>
      <c r="E21">
        <f t="shared" si="0"/>
        <v>0.21519974738231762</v>
      </c>
      <c r="F21">
        <f t="shared" si="0"/>
        <v>0.46389626791160715</v>
      </c>
      <c r="G21">
        <f>G5/G13</f>
        <v>0.32650042816353597</v>
      </c>
      <c r="H21">
        <f>H13-H5</f>
        <v>0</v>
      </c>
      <c r="J21" s="11"/>
      <c r="R21" s="1" t="s">
        <v>7</v>
      </c>
      <c r="S21">
        <f>S13-C5</f>
        <v>-0.27398293832405118</v>
      </c>
      <c r="T21">
        <f t="shared" si="1"/>
        <v>0.52088869899910761</v>
      </c>
      <c r="U21">
        <f t="shared" si="1"/>
        <v>0.26606327639671495</v>
      </c>
      <c r="V21">
        <f t="shared" si="1"/>
        <v>0.51581321851685324</v>
      </c>
      <c r="W21">
        <f t="shared" si="1"/>
        <v>0.36328057671384867</v>
      </c>
      <c r="X21">
        <f>X13-H5</f>
        <v>29</v>
      </c>
    </row>
    <row r="22" spans="2:24" x14ac:dyDescent="0.35">
      <c r="J22" s="4"/>
    </row>
    <row r="30" spans="2:24" x14ac:dyDescent="0.35">
      <c r="B30" s="9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-6.4542441238218298E-2</v>
      </c>
      <c r="D31">
        <v>0.66908774009908878</v>
      </c>
      <c r="E31">
        <v>0.69461590484210867</v>
      </c>
      <c r="F31">
        <v>0.83343620322260337</v>
      </c>
      <c r="G31">
        <v>0.86230025529642684</v>
      </c>
      <c r="H31">
        <v>14</v>
      </c>
    </row>
    <row r="32" spans="2:24" x14ac:dyDescent="0.35">
      <c r="B32" s="1" t="s">
        <v>7</v>
      </c>
      <c r="C32">
        <v>-4.3486297881566369E-2</v>
      </c>
      <c r="D32">
        <v>0.45219703943329032</v>
      </c>
      <c r="E32">
        <v>0.3854931715262907</v>
      </c>
      <c r="F32">
        <v>0.62088096405534188</v>
      </c>
      <c r="G32">
        <v>0.64464638074535374</v>
      </c>
      <c r="H32">
        <v>13</v>
      </c>
    </row>
    <row r="36" spans="2:24" x14ac:dyDescent="0.35">
      <c r="B36" s="12" t="s">
        <v>22</v>
      </c>
      <c r="D36" t="s">
        <v>25</v>
      </c>
      <c r="J36" s="12" t="s">
        <v>26</v>
      </c>
      <c r="R36" s="12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0.18077687431883649</v>
      </c>
      <c r="D38">
        <f>D31/D12</f>
        <v>1.0257529945633157</v>
      </c>
      <c r="E38">
        <f t="shared" ref="E38:F39" si="2">E31/E12</f>
        <v>1.0016839399780189</v>
      </c>
      <c r="F38">
        <f t="shared" si="2"/>
        <v>1.0008416158304063</v>
      </c>
      <c r="G38">
        <f>G31/G12</f>
        <v>1.0077007933594406</v>
      </c>
      <c r="H38">
        <f>H12-H31</f>
        <v>0</v>
      </c>
      <c r="J38" s="8" t="s">
        <v>16</v>
      </c>
      <c r="K38">
        <f>C31-K11</f>
        <v>-0.25053860716488391</v>
      </c>
      <c r="L38">
        <f>D31/L11</f>
        <v>0.86662189016706048</v>
      </c>
      <c r="M38">
        <f t="shared" ref="M38:N38" si="3">E31/M11</f>
        <v>0.72864162664795562</v>
      </c>
      <c r="N38">
        <f t="shared" si="3"/>
        <v>0.85360507651252604</v>
      </c>
      <c r="O38">
        <f>G31/O11</f>
        <v>0.86434818269689184</v>
      </c>
      <c r="R38" s="8" t="s">
        <v>16</v>
      </c>
      <c r="S38">
        <f>C31-S12</f>
        <v>-0.23906014277940357</v>
      </c>
      <c r="T38">
        <f>D31/T12</f>
        <v>0.93898387110581771</v>
      </c>
      <c r="U38">
        <f t="shared" ref="U38:V38" si="4">E31/U12</f>
        <v>0.84468171903411537</v>
      </c>
      <c r="V38">
        <f t="shared" si="4"/>
        <v>0.91906567721470012</v>
      </c>
      <c r="W38">
        <f>G31/W12</f>
        <v>0.96361041698621086</v>
      </c>
    </row>
    <row r="39" spans="2:24" x14ac:dyDescent="0.35">
      <c r="B39" s="1" t="s">
        <v>7</v>
      </c>
      <c r="C39">
        <f>C13-C32</f>
        <v>0.26633199622189935</v>
      </c>
      <c r="D39">
        <f>D32/D13</f>
        <v>0.59701980697931212</v>
      </c>
      <c r="E39">
        <f t="shared" si="2"/>
        <v>0.43350997673889374</v>
      </c>
      <c r="F39">
        <f t="shared" si="2"/>
        <v>0.65841474523198051</v>
      </c>
      <c r="G39">
        <f>G32/G13</f>
        <v>0.67594326686543205</v>
      </c>
      <c r="H39">
        <f>H13-H32</f>
        <v>0</v>
      </c>
    </row>
    <row r="45" spans="2:24" x14ac:dyDescent="0.35">
      <c r="B45" s="10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0.13847430986943809</v>
      </c>
      <c r="D46">
        <v>0.54403854314996503</v>
      </c>
      <c r="E46">
        <v>0.50073991858887912</v>
      </c>
      <c r="F46">
        <v>0.7076297892181187</v>
      </c>
      <c r="G46">
        <v>0.72014458897186151</v>
      </c>
      <c r="H46">
        <v>14</v>
      </c>
    </row>
    <row r="47" spans="2:24" x14ac:dyDescent="0.35">
      <c r="B47" s="1" t="s">
        <v>7</v>
      </c>
      <c r="C47">
        <v>0.2102217207496708</v>
      </c>
      <c r="D47">
        <v>0.61115210628833205</v>
      </c>
      <c r="E47">
        <v>0.65713853262487021</v>
      </c>
      <c r="F47">
        <v>0.81064081603683769</v>
      </c>
      <c r="G47">
        <v>0.81487676418732846</v>
      </c>
      <c r="H47">
        <v>13</v>
      </c>
    </row>
    <row r="51" spans="2:24" x14ac:dyDescent="0.35">
      <c r="B51" s="12" t="s">
        <v>23</v>
      </c>
      <c r="D51" t="s">
        <v>25</v>
      </c>
      <c r="J51" s="12" t="s">
        <v>28</v>
      </c>
      <c r="R51" s="12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-2.223987678881989E-2</v>
      </c>
      <c r="D53">
        <f>D46/D12</f>
        <v>0.83404482155254522</v>
      </c>
      <c r="E53">
        <f t="shared" ref="E53:F54" si="5">E46/E12</f>
        <v>0.72210142477286698</v>
      </c>
      <c r="F53">
        <f t="shared" si="5"/>
        <v>0.84976551164004466</v>
      </c>
      <c r="G53">
        <f>G46/G12</f>
        <v>0.84157492611548357</v>
      </c>
      <c r="H53">
        <f>H12-H46</f>
        <v>0</v>
      </c>
      <c r="J53" s="8" t="s">
        <v>16</v>
      </c>
      <c r="K53">
        <f>C46-K20</f>
        <v>0.23815241362371536</v>
      </c>
      <c r="L53">
        <f>D46/L11</f>
        <v>0.70465453532078348</v>
      </c>
      <c r="M53">
        <f t="shared" ref="M53:N53" si="6">E46/M11</f>
        <v>0.52526863589612316</v>
      </c>
      <c r="N53">
        <f t="shared" si="6"/>
        <v>0.72475418998176422</v>
      </c>
      <c r="O53">
        <f>G46/O11</f>
        <v>0.72185490255114382</v>
      </c>
      <c r="R53" s="8" t="s">
        <v>16</v>
      </c>
      <c r="S53">
        <f>C46-S20</f>
        <v>5.0274670500641119E-2</v>
      </c>
      <c r="T53">
        <f>D46/T12</f>
        <v>0.76349241909898102</v>
      </c>
      <c r="U53">
        <f t="shared" ref="U53:V53" si="7">E46/U12</f>
        <v>0.60892048724222736</v>
      </c>
      <c r="V53">
        <f t="shared" si="7"/>
        <v>0.78033357433999162</v>
      </c>
      <c r="W53">
        <f>G46/W12</f>
        <v>0.80475312793568465</v>
      </c>
    </row>
    <row r="54" spans="2:24" x14ac:dyDescent="0.35">
      <c r="B54" s="1" t="s">
        <v>7</v>
      </c>
      <c r="C54">
        <f>C13-C47</f>
        <v>1.2623977590662194E-2</v>
      </c>
      <c r="D54">
        <f>D47/D13</f>
        <v>0.80688257709189826</v>
      </c>
      <c r="E54">
        <f t="shared" si="5"/>
        <v>0.73899132600591255</v>
      </c>
      <c r="F54">
        <f t="shared" si="5"/>
        <v>0.85964604693205704</v>
      </c>
      <c r="G54">
        <f>G47/G13</f>
        <v>0.85443815172072535</v>
      </c>
      <c r="H54">
        <f>H13-H47</f>
        <v>0</v>
      </c>
    </row>
    <row r="59" spans="2:24" x14ac:dyDescent="0.35">
      <c r="B59" s="10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0.46768652126880123</v>
      </c>
      <c r="D60">
        <v>0.72784641225950464</v>
      </c>
      <c r="E60">
        <v>0.73398390543438974</v>
      </c>
      <c r="F60">
        <v>0.85672860663945949</v>
      </c>
      <c r="G60">
        <v>0.74490810613484815</v>
      </c>
      <c r="H60">
        <v>14</v>
      </c>
    </row>
    <row r="61" spans="2:24" x14ac:dyDescent="0.35">
      <c r="B61" s="1" t="s">
        <v>7</v>
      </c>
      <c r="C61">
        <v>0.33636829594169992</v>
      </c>
      <c r="D61">
        <v>0.64571889571809193</v>
      </c>
      <c r="E61">
        <v>0.62767873285498554</v>
      </c>
      <c r="F61">
        <v>0.79226178303322536</v>
      </c>
      <c r="G61">
        <v>0.74660098281162501</v>
      </c>
      <c r="H61">
        <v>13</v>
      </c>
    </row>
    <row r="65" spans="2:24" x14ac:dyDescent="0.35">
      <c r="B65" s="12" t="s">
        <v>24</v>
      </c>
      <c r="D65" t="s">
        <v>25</v>
      </c>
      <c r="J65" s="12" t="s">
        <v>30</v>
      </c>
      <c r="R65" s="12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-0.35145208818818302</v>
      </c>
      <c r="D67">
        <f>D60/D12</f>
        <v>1.1158336825104371</v>
      </c>
      <c r="E67">
        <f t="shared" ref="E67:F68" si="8">E60/E12</f>
        <v>1.0584553062358888</v>
      </c>
      <c r="F67">
        <f t="shared" si="8"/>
        <v>1.0288125709942937</v>
      </c>
      <c r="G67">
        <f>G60/G12</f>
        <v>0.87051405229367707</v>
      </c>
      <c r="H67">
        <f>H12-H60</f>
        <v>0</v>
      </c>
      <c r="J67" s="8" t="s">
        <v>16</v>
      </c>
      <c r="K67">
        <f>K20-C60</f>
        <v>-0.56736462502307849</v>
      </c>
      <c r="L67">
        <f>D60/L11</f>
        <v>0.94272783035933627</v>
      </c>
      <c r="M67">
        <f t="shared" ref="M67:N67" si="9">E60/M11</f>
        <v>0.76993806657896713</v>
      </c>
      <c r="N67">
        <f t="shared" si="9"/>
        <v>0.87746114818775134</v>
      </c>
      <c r="O67">
        <f>G60/O11</f>
        <v>0.74667723204199243</v>
      </c>
      <c r="R67" s="8" t="s">
        <v>16</v>
      </c>
      <c r="S67">
        <f>S20-S60</f>
        <v>8.8199639368796975E-2</v>
      </c>
      <c r="T67">
        <f>D60/T12</f>
        <v>1.0214445741491196</v>
      </c>
      <c r="U67">
        <f t="shared" ref="U67:V67" si="10">E60/U12</f>
        <v>0.89255483881645437</v>
      </c>
      <c r="V67">
        <f t="shared" si="10"/>
        <v>0.94475120471818097</v>
      </c>
      <c r="W67">
        <f>G60/W12</f>
        <v>0.8324260677880192</v>
      </c>
    </row>
    <row r="68" spans="2:24" x14ac:dyDescent="0.35">
      <c r="B68" s="1" t="s">
        <v>7</v>
      </c>
      <c r="C68">
        <f>C13-C61</f>
        <v>-0.11352259760136693</v>
      </c>
      <c r="D68">
        <f>D61/D13</f>
        <v>0.85251989037265941</v>
      </c>
      <c r="E68">
        <f t="shared" si="8"/>
        <v>0.7058620307127943</v>
      </c>
      <c r="F68">
        <f t="shared" si="8"/>
        <v>0.8401559561847991</v>
      </c>
      <c r="G68">
        <f>G61/G13</f>
        <v>0.78284765483850793</v>
      </c>
      <c r="H68">
        <f>H13-H61</f>
        <v>0</v>
      </c>
    </row>
  </sheetData>
  <conditionalFormatting sqref="D20:G21 D38:G39 D53:G54 D67:G68">
    <cfRule type="cellIs" dxfId="35" priority="48" operator="greaterThan">
      <formula>0</formula>
    </cfRule>
    <cfRule type="cellIs" dxfId="34" priority="45" operator="lessThan">
      <formula>1</formula>
    </cfRule>
    <cfRule type="cellIs" dxfId="33" priority="46" operator="greaterThan">
      <formula>1</formula>
    </cfRule>
    <cfRule type="cellIs" dxfId="32" priority="47" operator="lessThan">
      <formula>0</formula>
    </cfRule>
  </conditionalFormatting>
  <conditionalFormatting sqref="L20:O20">
    <cfRule type="cellIs" dxfId="31" priority="5" operator="lessThan">
      <formula>1</formula>
    </cfRule>
    <cfRule type="cellIs" dxfId="30" priority="6" operator="greaterThan">
      <formula>1</formula>
    </cfRule>
    <cfRule type="cellIs" dxfId="29" priority="7" operator="lessThan">
      <formula>0</formula>
    </cfRule>
    <cfRule type="cellIs" dxfId="28" priority="8" operator="greaterThan">
      <formula>0</formula>
    </cfRule>
  </conditionalFormatting>
  <conditionalFormatting sqref="L38:O38">
    <cfRule type="cellIs" dxfId="27" priority="30" operator="greaterThan">
      <formula>1</formula>
    </cfRule>
    <cfRule type="cellIs" dxfId="26" priority="29" operator="lessThan">
      <formula>1</formula>
    </cfRule>
    <cfRule type="cellIs" dxfId="25" priority="31" operator="lessThan">
      <formula>0</formula>
    </cfRule>
    <cfRule type="cellIs" dxfId="24" priority="32" operator="greaterThan">
      <formula>0</formula>
    </cfRule>
  </conditionalFormatting>
  <conditionalFormatting sqref="L53:O53">
    <cfRule type="cellIs" dxfId="23" priority="28" operator="greaterThan">
      <formula>0</formula>
    </cfRule>
    <cfRule type="cellIs" dxfId="22" priority="27" operator="lessThan">
      <formula>0</formula>
    </cfRule>
    <cfRule type="cellIs" dxfId="21" priority="26" operator="greaterThan">
      <formula>1</formula>
    </cfRule>
    <cfRule type="cellIs" dxfId="20" priority="25" operator="lessThan">
      <formula>1</formula>
    </cfRule>
  </conditionalFormatting>
  <conditionalFormatting sqref="L67:O67">
    <cfRule type="cellIs" dxfId="19" priority="23" operator="lessThan">
      <formula>0</formula>
    </cfRule>
    <cfRule type="cellIs" dxfId="18" priority="22" operator="greaterThan">
      <formula>1</formula>
    </cfRule>
    <cfRule type="cellIs" dxfId="17" priority="21" operator="lessThan">
      <formula>1</formula>
    </cfRule>
    <cfRule type="cellIs" dxfId="16" priority="24" operator="greaterThan">
      <formula>0</formula>
    </cfRule>
  </conditionalFormatting>
  <conditionalFormatting sqref="T20:W21">
    <cfRule type="cellIs" dxfId="15" priority="3" operator="lessThan">
      <formula>0</formula>
    </cfRule>
    <cfRule type="cellIs" dxfId="14" priority="4" operator="greaterThan">
      <formula>0</formula>
    </cfRule>
    <cfRule type="cellIs" dxfId="13" priority="1" operator="lessThan">
      <formula>1</formula>
    </cfRule>
    <cfRule type="cellIs" dxfId="12" priority="2" operator="greaterThan">
      <formula>1</formula>
    </cfRule>
  </conditionalFormatting>
  <conditionalFormatting sqref="T38:W38">
    <cfRule type="cellIs" dxfId="11" priority="12" operator="greaterThan">
      <formula>0</formula>
    </cfRule>
    <cfRule type="cellIs" dxfId="10" priority="11" operator="lessThan">
      <formula>0</formula>
    </cfRule>
    <cfRule type="cellIs" dxfId="9" priority="10" operator="greaterThan">
      <formula>1</formula>
    </cfRule>
    <cfRule type="cellIs" dxfId="8" priority="9" operator="lessThan">
      <formula>1</formula>
    </cfRule>
  </conditionalFormatting>
  <conditionalFormatting sqref="T53:W53">
    <cfRule type="cellIs" dxfId="7" priority="14" operator="greaterThan">
      <formula>1</formula>
    </cfRule>
    <cfRule type="cellIs" dxfId="6" priority="13" operator="lessThan">
      <formula>1</formula>
    </cfRule>
    <cfRule type="cellIs" dxfId="5" priority="16" operator="greaterThan">
      <formula>0</formula>
    </cfRule>
    <cfRule type="cellIs" dxfId="4" priority="15" operator="lessThan">
      <formula>0</formula>
    </cfRule>
  </conditionalFormatting>
  <conditionalFormatting sqref="T67:W67">
    <cfRule type="cellIs" dxfId="3" priority="20" operator="greaterThan">
      <formula>0</formula>
    </cfRule>
    <cfRule type="cellIs" dxfId="2" priority="18" operator="greaterThan">
      <formula>1</formula>
    </cfRule>
    <cfRule type="cellIs" dxfId="1" priority="17" operator="lessThan">
      <formula>1</formula>
    </cfRule>
    <cfRule type="cellIs" dxfId="0" priority="19" operator="less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ifoCAST - ifo GVA</vt:lpstr>
      <vt:lpstr>ifoCAST -ifo 2021 sample GVA</vt:lpstr>
      <vt:lpstr>ifoCAST - ifo 2022 sample GVA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2025-11-21T11:52:35Z</dcterms:modified>
</cp:coreProperties>
</file>