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fbe04e23282f0d1/Desktop/ifo/Konjunkturprognose Evaluierung/ifo Forecast Evaluation Workfolder/3_Analysis_Excels/"/>
    </mc:Choice>
  </mc:AlternateContent>
  <xr:revisionPtr revIDLastSave="359" documentId="8_{C8633DC1-0678-44D8-A406-195500882EAF}" xr6:coauthVersionLast="47" xr6:coauthVersionMax="47" xr10:uidLastSave="{67240AED-0BBF-4B9E-97AF-F05BA8EACA9B}"/>
  <bookViews>
    <workbookView xWindow="-28905" yWindow="0" windowWidth="14610" windowHeight="15585" firstSheet="4" activeTab="5" xr2:uid="{00000000-000D-0000-FFFF-FFFF00000000}"/>
  </bookViews>
  <sheets>
    <sheet name="Naive - ifo" sheetId="1" r:id="rId1"/>
    <sheet name="Naive-ifo 2010-2018" sheetId="6" r:id="rId2"/>
    <sheet name="Naive-ifo sd filtered" sheetId="7" r:id="rId3"/>
    <sheet name="ifoCAST - ifo" sheetId="2" r:id="rId4"/>
    <sheet name="ifoCAST -ifo 2021 sample" sheetId="4" r:id="rId5"/>
    <sheet name="ifoCAST - ifo 2022 sample" sheetId="5" r:id="rId6"/>
    <sheet name="ifoCAST long_term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7" i="7" l="1"/>
  <c r="W37" i="7"/>
  <c r="V37" i="7"/>
  <c r="U37" i="7"/>
  <c r="T37" i="7"/>
  <c r="S37" i="7"/>
  <c r="P37" i="7"/>
  <c r="O37" i="7"/>
  <c r="N37" i="7"/>
  <c r="M37" i="7"/>
  <c r="L37" i="7"/>
  <c r="K37" i="7"/>
  <c r="H37" i="7"/>
  <c r="G37" i="7"/>
  <c r="F37" i="7"/>
  <c r="E37" i="7"/>
  <c r="D37" i="7"/>
  <c r="C37" i="7"/>
  <c r="X36" i="7"/>
  <c r="W36" i="7"/>
  <c r="V36" i="7"/>
  <c r="U36" i="7"/>
  <c r="T36" i="7"/>
  <c r="S36" i="7"/>
  <c r="P36" i="7"/>
  <c r="O36" i="7"/>
  <c r="N36" i="7"/>
  <c r="M36" i="7"/>
  <c r="L36" i="7"/>
  <c r="K36" i="7"/>
  <c r="H36" i="7"/>
  <c r="G36" i="7"/>
  <c r="F36" i="7"/>
  <c r="E36" i="7"/>
  <c r="D36" i="7"/>
  <c r="C36" i="7"/>
  <c r="X35" i="7"/>
  <c r="W35" i="7"/>
  <c r="V35" i="7"/>
  <c r="U35" i="7"/>
  <c r="T35" i="7"/>
  <c r="S35" i="7"/>
  <c r="P35" i="7"/>
  <c r="O35" i="7"/>
  <c r="N35" i="7"/>
  <c r="M35" i="7"/>
  <c r="L35" i="7"/>
  <c r="K35" i="7"/>
  <c r="H35" i="7"/>
  <c r="G35" i="7"/>
  <c r="F35" i="7"/>
  <c r="E35" i="7"/>
  <c r="D35" i="7"/>
  <c r="C35" i="7"/>
  <c r="X34" i="7"/>
  <c r="W34" i="7"/>
  <c r="V34" i="7"/>
  <c r="U34" i="7"/>
  <c r="T34" i="7"/>
  <c r="S34" i="7"/>
  <c r="P34" i="7"/>
  <c r="O34" i="7"/>
  <c r="N34" i="7"/>
  <c r="M34" i="7"/>
  <c r="L34" i="7"/>
  <c r="K34" i="7"/>
  <c r="H34" i="7"/>
  <c r="G34" i="7"/>
  <c r="F34" i="7"/>
  <c r="E34" i="7"/>
  <c r="D34" i="7"/>
  <c r="C34" i="7"/>
  <c r="X33" i="7"/>
  <c r="W33" i="7"/>
  <c r="V33" i="7"/>
  <c r="U33" i="7"/>
  <c r="T33" i="7"/>
  <c r="S33" i="7"/>
  <c r="P33" i="7"/>
  <c r="O33" i="7"/>
  <c r="N33" i="7"/>
  <c r="M33" i="7"/>
  <c r="L33" i="7"/>
  <c r="K33" i="7"/>
  <c r="H33" i="7"/>
  <c r="G33" i="7"/>
  <c r="F33" i="7"/>
  <c r="E33" i="7"/>
  <c r="D33" i="7"/>
  <c r="C33" i="7"/>
  <c r="X32" i="7"/>
  <c r="W32" i="7"/>
  <c r="V32" i="7"/>
  <c r="U32" i="7"/>
  <c r="T32" i="7"/>
  <c r="S32" i="7"/>
  <c r="P32" i="7"/>
  <c r="O32" i="7"/>
  <c r="N32" i="7"/>
  <c r="M32" i="7"/>
  <c r="L32" i="7"/>
  <c r="K32" i="7"/>
  <c r="H32" i="7"/>
  <c r="G32" i="7"/>
  <c r="F32" i="7"/>
  <c r="E32" i="7"/>
  <c r="D32" i="7"/>
  <c r="C32" i="7"/>
  <c r="X31" i="7"/>
  <c r="W31" i="7"/>
  <c r="V31" i="7"/>
  <c r="U31" i="7"/>
  <c r="T31" i="7"/>
  <c r="S31" i="7"/>
  <c r="P31" i="7"/>
  <c r="O31" i="7"/>
  <c r="N31" i="7"/>
  <c r="M31" i="7"/>
  <c r="L31" i="7"/>
  <c r="K31" i="7"/>
  <c r="H31" i="7"/>
  <c r="G31" i="7"/>
  <c r="F31" i="7"/>
  <c r="E31" i="7"/>
  <c r="D31" i="7"/>
  <c r="C31" i="7"/>
  <c r="X37" i="6"/>
  <c r="W37" i="6"/>
  <c r="V37" i="6"/>
  <c r="U37" i="6"/>
  <c r="T37" i="6"/>
  <c r="S37" i="6"/>
  <c r="P37" i="6"/>
  <c r="O37" i="6"/>
  <c r="N37" i="6"/>
  <c r="M37" i="6"/>
  <c r="L37" i="6"/>
  <c r="K37" i="6"/>
  <c r="H37" i="6"/>
  <c r="G37" i="6"/>
  <c r="F37" i="6"/>
  <c r="E37" i="6"/>
  <c r="D37" i="6"/>
  <c r="C37" i="6"/>
  <c r="X36" i="6"/>
  <c r="W36" i="6"/>
  <c r="V36" i="6"/>
  <c r="U36" i="6"/>
  <c r="T36" i="6"/>
  <c r="S36" i="6"/>
  <c r="P36" i="6"/>
  <c r="O36" i="6"/>
  <c r="N36" i="6"/>
  <c r="M36" i="6"/>
  <c r="L36" i="6"/>
  <c r="K36" i="6"/>
  <c r="H36" i="6"/>
  <c r="G36" i="6"/>
  <c r="F36" i="6"/>
  <c r="E36" i="6"/>
  <c r="D36" i="6"/>
  <c r="C36" i="6"/>
  <c r="X35" i="6"/>
  <c r="W35" i="6"/>
  <c r="V35" i="6"/>
  <c r="U35" i="6"/>
  <c r="T35" i="6"/>
  <c r="S35" i="6"/>
  <c r="P35" i="6"/>
  <c r="O35" i="6"/>
  <c r="N35" i="6"/>
  <c r="M35" i="6"/>
  <c r="L35" i="6"/>
  <c r="K35" i="6"/>
  <c r="H35" i="6"/>
  <c r="G35" i="6"/>
  <c r="F35" i="6"/>
  <c r="E35" i="6"/>
  <c r="D35" i="6"/>
  <c r="C35" i="6"/>
  <c r="X34" i="6"/>
  <c r="W34" i="6"/>
  <c r="V34" i="6"/>
  <c r="U34" i="6"/>
  <c r="T34" i="6"/>
  <c r="S34" i="6"/>
  <c r="P34" i="6"/>
  <c r="O34" i="6"/>
  <c r="N34" i="6"/>
  <c r="M34" i="6"/>
  <c r="L34" i="6"/>
  <c r="K34" i="6"/>
  <c r="H34" i="6"/>
  <c r="G34" i="6"/>
  <c r="F34" i="6"/>
  <c r="E34" i="6"/>
  <c r="D34" i="6"/>
  <c r="C34" i="6"/>
  <c r="X33" i="6"/>
  <c r="W33" i="6"/>
  <c r="V33" i="6"/>
  <c r="U33" i="6"/>
  <c r="T33" i="6"/>
  <c r="S33" i="6"/>
  <c r="P33" i="6"/>
  <c r="O33" i="6"/>
  <c r="N33" i="6"/>
  <c r="M33" i="6"/>
  <c r="L33" i="6"/>
  <c r="K33" i="6"/>
  <c r="H33" i="6"/>
  <c r="G33" i="6"/>
  <c r="F33" i="6"/>
  <c r="E33" i="6"/>
  <c r="D33" i="6"/>
  <c r="C33" i="6"/>
  <c r="X32" i="6"/>
  <c r="W32" i="6"/>
  <c r="V32" i="6"/>
  <c r="U32" i="6"/>
  <c r="T32" i="6"/>
  <c r="S32" i="6"/>
  <c r="P32" i="6"/>
  <c r="O32" i="6"/>
  <c r="N32" i="6"/>
  <c r="M32" i="6"/>
  <c r="L32" i="6"/>
  <c r="K32" i="6"/>
  <c r="H32" i="6"/>
  <c r="G32" i="6"/>
  <c r="F32" i="6"/>
  <c r="E32" i="6"/>
  <c r="D32" i="6"/>
  <c r="C32" i="6"/>
  <c r="X31" i="6"/>
  <c r="W31" i="6"/>
  <c r="V31" i="6"/>
  <c r="U31" i="6"/>
  <c r="T31" i="6"/>
  <c r="S31" i="6"/>
  <c r="P31" i="6"/>
  <c r="O31" i="6"/>
  <c r="N31" i="6"/>
  <c r="M31" i="6"/>
  <c r="L31" i="6"/>
  <c r="K31" i="6"/>
  <c r="H31" i="6"/>
  <c r="G31" i="6"/>
  <c r="F31" i="6"/>
  <c r="E31" i="6"/>
  <c r="D31" i="6"/>
  <c r="C31" i="6"/>
  <c r="G67" i="5"/>
  <c r="H68" i="5"/>
  <c r="G68" i="5"/>
  <c r="F68" i="5"/>
  <c r="E68" i="5"/>
  <c r="D68" i="5"/>
  <c r="C68" i="5"/>
  <c r="W67" i="5"/>
  <c r="V67" i="5"/>
  <c r="U67" i="5"/>
  <c r="T67" i="5"/>
  <c r="O67" i="5"/>
  <c r="N67" i="5"/>
  <c r="M67" i="5"/>
  <c r="L67" i="5"/>
  <c r="H67" i="5"/>
  <c r="F67" i="5"/>
  <c r="E67" i="5"/>
  <c r="D67" i="5"/>
  <c r="C67" i="5"/>
  <c r="H54" i="5"/>
  <c r="G54" i="5"/>
  <c r="F54" i="5"/>
  <c r="E54" i="5"/>
  <c r="D54" i="5"/>
  <c r="C54" i="5"/>
  <c r="W53" i="5"/>
  <c r="V53" i="5"/>
  <c r="U53" i="5"/>
  <c r="T53" i="5"/>
  <c r="O53" i="5"/>
  <c r="N53" i="5"/>
  <c r="M53" i="5"/>
  <c r="L53" i="5"/>
  <c r="H53" i="5"/>
  <c r="G53" i="5"/>
  <c r="F53" i="5"/>
  <c r="E53" i="5"/>
  <c r="D53" i="5"/>
  <c r="C53" i="5"/>
  <c r="H39" i="5"/>
  <c r="G39" i="5"/>
  <c r="F39" i="5"/>
  <c r="E39" i="5"/>
  <c r="D39" i="5"/>
  <c r="C39" i="5"/>
  <c r="W38" i="5"/>
  <c r="V38" i="5"/>
  <c r="U38" i="5"/>
  <c r="T38" i="5"/>
  <c r="S38" i="5"/>
  <c r="O38" i="5"/>
  <c r="N38" i="5"/>
  <c r="M38" i="5"/>
  <c r="L38" i="5"/>
  <c r="K38" i="5"/>
  <c r="H38" i="5"/>
  <c r="G38" i="5"/>
  <c r="F38" i="5"/>
  <c r="E38" i="5"/>
  <c r="D38" i="5"/>
  <c r="C38" i="5"/>
  <c r="X21" i="5"/>
  <c r="W21" i="5"/>
  <c r="V21" i="5"/>
  <c r="U21" i="5"/>
  <c r="T21" i="5"/>
  <c r="S21" i="5"/>
  <c r="H21" i="5"/>
  <c r="G21" i="5"/>
  <c r="F21" i="5"/>
  <c r="E21" i="5"/>
  <c r="D21" i="5"/>
  <c r="C21" i="5"/>
  <c r="X20" i="5"/>
  <c r="W20" i="5"/>
  <c r="V20" i="5"/>
  <c r="U20" i="5"/>
  <c r="T20" i="5"/>
  <c r="S20" i="5"/>
  <c r="S53" i="5" s="1"/>
  <c r="P20" i="5"/>
  <c r="O20" i="5"/>
  <c r="N20" i="5"/>
  <c r="M20" i="5"/>
  <c r="L20" i="5"/>
  <c r="K20" i="5"/>
  <c r="K53" i="5" s="1"/>
  <c r="H20" i="5"/>
  <c r="G20" i="5"/>
  <c r="F20" i="5"/>
  <c r="E20" i="5"/>
  <c r="D20" i="5"/>
  <c r="C20" i="5"/>
  <c r="H68" i="4"/>
  <c r="G68" i="4"/>
  <c r="F68" i="4"/>
  <c r="E68" i="4"/>
  <c r="D68" i="4"/>
  <c r="C68" i="4"/>
  <c r="W67" i="4"/>
  <c r="V67" i="4"/>
  <c r="U67" i="4"/>
  <c r="T67" i="4"/>
  <c r="O67" i="4"/>
  <c r="N67" i="4"/>
  <c r="M67" i="4"/>
  <c r="L67" i="4"/>
  <c r="H67" i="4"/>
  <c r="G67" i="4"/>
  <c r="F67" i="4"/>
  <c r="E67" i="4"/>
  <c r="D67" i="4"/>
  <c r="C67" i="4"/>
  <c r="H54" i="4"/>
  <c r="G54" i="4"/>
  <c r="F54" i="4"/>
  <c r="E54" i="4"/>
  <c r="D54" i="4"/>
  <c r="C54" i="4"/>
  <c r="W53" i="4"/>
  <c r="V53" i="4"/>
  <c r="U53" i="4"/>
  <c r="T53" i="4"/>
  <c r="O53" i="4"/>
  <c r="N53" i="4"/>
  <c r="M53" i="4"/>
  <c r="L53" i="4"/>
  <c r="H53" i="4"/>
  <c r="G53" i="4"/>
  <c r="F53" i="4"/>
  <c r="E53" i="4"/>
  <c r="D53" i="4"/>
  <c r="C53" i="4"/>
  <c r="H39" i="4"/>
  <c r="G39" i="4"/>
  <c r="F39" i="4"/>
  <c r="E39" i="4"/>
  <c r="D39" i="4"/>
  <c r="C39" i="4"/>
  <c r="W38" i="4"/>
  <c r="V38" i="4"/>
  <c r="U38" i="4"/>
  <c r="T38" i="4"/>
  <c r="S38" i="4"/>
  <c r="O38" i="4"/>
  <c r="N38" i="4"/>
  <c r="M38" i="4"/>
  <c r="L38" i="4"/>
  <c r="K38" i="4"/>
  <c r="H38" i="4"/>
  <c r="G38" i="4"/>
  <c r="F38" i="4"/>
  <c r="E38" i="4"/>
  <c r="D38" i="4"/>
  <c r="C38" i="4"/>
  <c r="X21" i="4"/>
  <c r="W21" i="4"/>
  <c r="V21" i="4"/>
  <c r="U21" i="4"/>
  <c r="T21" i="4"/>
  <c r="S21" i="4"/>
  <c r="H21" i="4"/>
  <c r="G21" i="4"/>
  <c r="F21" i="4"/>
  <c r="E21" i="4"/>
  <c r="D21" i="4"/>
  <c r="C21" i="4"/>
  <c r="X20" i="4"/>
  <c r="W20" i="4"/>
  <c r="V20" i="4"/>
  <c r="U20" i="4"/>
  <c r="T20" i="4"/>
  <c r="S20" i="4"/>
  <c r="S53" i="4" s="1"/>
  <c r="P20" i="4"/>
  <c r="O20" i="4"/>
  <c r="N20" i="4"/>
  <c r="M20" i="4"/>
  <c r="L20" i="4"/>
  <c r="K20" i="4"/>
  <c r="K53" i="4" s="1"/>
  <c r="H20" i="4"/>
  <c r="G20" i="4"/>
  <c r="F20" i="4"/>
  <c r="E20" i="4"/>
  <c r="D20" i="4"/>
  <c r="C20" i="4"/>
  <c r="C53" i="2"/>
  <c r="D53" i="2"/>
  <c r="E53" i="2"/>
  <c r="F53" i="2"/>
  <c r="G53" i="2"/>
  <c r="H53" i="2"/>
  <c r="L53" i="2"/>
  <c r="M53" i="2"/>
  <c r="N53" i="2"/>
  <c r="O53" i="2"/>
  <c r="T53" i="2"/>
  <c r="U53" i="2"/>
  <c r="V53" i="2"/>
  <c r="W53" i="2"/>
  <c r="C54" i="2"/>
  <c r="D54" i="2"/>
  <c r="E54" i="2"/>
  <c r="F54" i="2"/>
  <c r="G54" i="2"/>
  <c r="H54" i="2"/>
  <c r="C67" i="2"/>
  <c r="D67" i="2"/>
  <c r="E67" i="2"/>
  <c r="F67" i="2"/>
  <c r="G67" i="2"/>
  <c r="H67" i="2"/>
  <c r="L67" i="2"/>
  <c r="M67" i="2"/>
  <c r="N67" i="2"/>
  <c r="O67" i="2"/>
  <c r="T67" i="2"/>
  <c r="U67" i="2"/>
  <c r="V67" i="2"/>
  <c r="W67" i="2"/>
  <c r="C68" i="2"/>
  <c r="D68" i="2"/>
  <c r="E68" i="2"/>
  <c r="G68" i="2"/>
  <c r="U38" i="2"/>
  <c r="V38" i="2"/>
  <c r="W38" i="2"/>
  <c r="T38" i="2"/>
  <c r="S38" i="2"/>
  <c r="M38" i="2"/>
  <c r="N38" i="2"/>
  <c r="O38" i="2"/>
  <c r="L38" i="2"/>
  <c r="K38" i="2"/>
  <c r="K20" i="2"/>
  <c r="K53" i="2" s="1"/>
  <c r="P20" i="2"/>
  <c r="L20" i="2"/>
  <c r="M20" i="2"/>
  <c r="N20" i="2"/>
  <c r="O20" i="2"/>
  <c r="F20" i="2"/>
  <c r="F32" i="1"/>
  <c r="F68" i="2"/>
  <c r="H68" i="2"/>
  <c r="H39" i="2"/>
  <c r="H38" i="2"/>
  <c r="E38" i="2"/>
  <c r="F38" i="2"/>
  <c r="G38" i="2"/>
  <c r="E39" i="2"/>
  <c r="F39" i="2"/>
  <c r="G39" i="2"/>
  <c r="D39" i="2"/>
  <c r="D38" i="2"/>
  <c r="C39" i="2"/>
  <c r="C38" i="2"/>
  <c r="M7" i="3"/>
  <c r="N19" i="3"/>
  <c r="M19" i="3"/>
  <c r="L19" i="3"/>
  <c r="K19" i="3"/>
  <c r="N15" i="3"/>
  <c r="M15" i="3"/>
  <c r="L15" i="3"/>
  <c r="K15" i="3"/>
  <c r="N11" i="3"/>
  <c r="M11" i="3"/>
  <c r="L11" i="3"/>
  <c r="K11" i="3"/>
  <c r="N7" i="3"/>
  <c r="L7" i="3"/>
  <c r="K7" i="3"/>
  <c r="T20" i="2"/>
  <c r="D20" i="2"/>
  <c r="K67" i="5" l="1"/>
  <c r="K67" i="4"/>
  <c r="K67" i="2"/>
  <c r="S67" i="5"/>
  <c r="S67" i="4"/>
  <c r="X38" i="1"/>
  <c r="W38" i="1"/>
  <c r="V38" i="1"/>
  <c r="U38" i="1"/>
  <c r="T38" i="1"/>
  <c r="S38" i="1"/>
  <c r="X37" i="1"/>
  <c r="W37" i="1"/>
  <c r="V37" i="1"/>
  <c r="U37" i="1"/>
  <c r="T37" i="1"/>
  <c r="S37" i="1"/>
  <c r="X36" i="1"/>
  <c r="W36" i="1"/>
  <c r="V36" i="1"/>
  <c r="U36" i="1"/>
  <c r="T36" i="1"/>
  <c r="S36" i="1"/>
  <c r="X35" i="1"/>
  <c r="W35" i="1"/>
  <c r="V35" i="1"/>
  <c r="U35" i="1"/>
  <c r="T35" i="1"/>
  <c r="S35" i="1"/>
  <c r="X34" i="1"/>
  <c r="W34" i="1"/>
  <c r="V34" i="1"/>
  <c r="U34" i="1"/>
  <c r="T34" i="1"/>
  <c r="S34" i="1"/>
  <c r="X33" i="1"/>
  <c r="W33" i="1"/>
  <c r="V33" i="1"/>
  <c r="U33" i="1"/>
  <c r="T33" i="1"/>
  <c r="S33" i="1"/>
  <c r="X32" i="1"/>
  <c r="W32" i="1"/>
  <c r="V32" i="1"/>
  <c r="U32" i="1"/>
  <c r="T32" i="1"/>
  <c r="S32" i="1"/>
  <c r="P38" i="1"/>
  <c r="O38" i="1"/>
  <c r="N38" i="1"/>
  <c r="M38" i="1"/>
  <c r="L38" i="1"/>
  <c r="K38" i="1"/>
  <c r="P37" i="1"/>
  <c r="O37" i="1"/>
  <c r="N37" i="1"/>
  <c r="M37" i="1"/>
  <c r="L37" i="1"/>
  <c r="K37" i="1"/>
  <c r="P36" i="1"/>
  <c r="O36" i="1"/>
  <c r="N36" i="1"/>
  <c r="M36" i="1"/>
  <c r="L36" i="1"/>
  <c r="K36" i="1"/>
  <c r="P35" i="1"/>
  <c r="O35" i="1"/>
  <c r="N35" i="1"/>
  <c r="M35" i="1"/>
  <c r="L35" i="1"/>
  <c r="K35" i="1"/>
  <c r="P34" i="1"/>
  <c r="O34" i="1"/>
  <c r="N34" i="1"/>
  <c r="M34" i="1"/>
  <c r="L34" i="1"/>
  <c r="K34" i="1"/>
  <c r="P33" i="1"/>
  <c r="O33" i="1"/>
  <c r="N33" i="1"/>
  <c r="M33" i="1"/>
  <c r="L33" i="1"/>
  <c r="K33" i="1"/>
  <c r="P32" i="1"/>
  <c r="O32" i="1"/>
  <c r="N32" i="1"/>
  <c r="M32" i="1"/>
  <c r="L32" i="1"/>
  <c r="K32" i="1"/>
  <c r="G33" i="1"/>
  <c r="G34" i="1"/>
  <c r="G35" i="1"/>
  <c r="G36" i="1"/>
  <c r="G37" i="1"/>
  <c r="G38" i="1"/>
  <c r="F33" i="1"/>
  <c r="F34" i="1"/>
  <c r="F35" i="1"/>
  <c r="F36" i="1"/>
  <c r="F37" i="1"/>
  <c r="F38" i="1"/>
  <c r="E33" i="1"/>
  <c r="E34" i="1"/>
  <c r="E35" i="1"/>
  <c r="E36" i="1"/>
  <c r="E37" i="1"/>
  <c r="E38" i="1"/>
  <c r="E32" i="1"/>
  <c r="G32" i="1"/>
  <c r="D33" i="1"/>
  <c r="D34" i="1"/>
  <c r="D35" i="1"/>
  <c r="D36" i="1"/>
  <c r="D37" i="1"/>
  <c r="D38" i="1"/>
  <c r="D32" i="1"/>
  <c r="X21" i="2"/>
  <c r="C20" i="2"/>
  <c r="T21" i="2"/>
  <c r="U21" i="2"/>
  <c r="V21" i="2"/>
  <c r="W21" i="2"/>
  <c r="U20" i="2"/>
  <c r="V20" i="2"/>
  <c r="W20" i="2"/>
  <c r="D21" i="2"/>
  <c r="E21" i="2"/>
  <c r="F21" i="2"/>
  <c r="G21" i="2"/>
  <c r="E20" i="2"/>
  <c r="G20" i="2"/>
  <c r="S21" i="2"/>
  <c r="H21" i="2"/>
  <c r="C21" i="2"/>
  <c r="X20" i="2"/>
  <c r="S20" i="2"/>
  <c r="H20" i="2"/>
  <c r="C32" i="1"/>
  <c r="H33" i="1"/>
  <c r="H34" i="1"/>
  <c r="H35" i="1"/>
  <c r="H36" i="1"/>
  <c r="H37" i="1"/>
  <c r="H38" i="1"/>
  <c r="H32" i="1"/>
  <c r="C33" i="1"/>
  <c r="C34" i="1"/>
  <c r="C35" i="1"/>
  <c r="C36" i="1"/>
  <c r="C37" i="1"/>
  <c r="C38" i="1"/>
  <c r="S53" i="2" l="1"/>
  <c r="S67" i="2"/>
</calcChain>
</file>

<file path=xl/sharedStrings.xml><?xml version="1.0" encoding="utf-8"?>
<sst xmlns="http://schemas.openxmlformats.org/spreadsheetml/2006/main" count="969" uniqueCount="54">
  <si>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</si>
  <si>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</si>
  <si>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</si>
  <si>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</si>
  <si>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</si>
  <si>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</si>
  <si>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</si>
  <si>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</si>
  <si>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</si>
  <si>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</si>
  <si>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</si>
  <si>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</si>
  <si>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</si>
  <si>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ifo</t>
  </si>
  <si>
    <t>AR2-50</t>
  </si>
  <si>
    <r>
      <rPr>
        <i/>
        <sz val="11"/>
        <color theme="1"/>
        <rFont val="Calibri"/>
        <family val="2"/>
        <scheme val="minor"/>
      </rPr>
      <t>Hier zu sehen</t>
    </r>
    <r>
      <rPr>
        <sz val="11"/>
        <color theme="1"/>
        <rFont val="Calibri"/>
        <family val="2"/>
        <scheme val="minor"/>
      </rPr>
      <t>: Wie viel schlechter ist der Naive Prognostiker?</t>
    </r>
  </si>
  <si>
    <t>Qminus1</t>
  </si>
  <si>
    <t>ifoCAST - Release matched</t>
  </si>
  <si>
    <t>ifo - ifoCAST Sample</t>
  </si>
  <si>
    <t>ifoCAST - all observations</t>
  </si>
  <si>
    <t>Grün bedeutet niedrigere Fehler der offiziellen ifo-Prognose</t>
  </si>
  <si>
    <t>ifoCAST - last estimate before release</t>
  </si>
  <si>
    <t xml:space="preserve"> ifo/ifoCAST_matched</t>
  </si>
  <si>
    <t>ifo/ifoCAST_full</t>
  </si>
  <si>
    <t>ifo/ifoCAST_last_report</t>
  </si>
  <si>
    <t>Q0/Qminus1</t>
  </si>
  <si>
    <t>AR2-50  - ifoCAST sample</t>
  </si>
  <si>
    <t>AR2-50 / ifo</t>
  </si>
  <si>
    <t>AVERAGE-1</t>
  </si>
  <si>
    <t>AVERAGE-10</t>
  </si>
  <si>
    <t>AVG-1 / ifo</t>
  </si>
  <si>
    <t>AVG-10 / ifo</t>
  </si>
  <si>
    <t>Average1 - ifoCAST sample</t>
  </si>
  <si>
    <t>Average-10 - ifoCAST sample</t>
  </si>
  <si>
    <t>ifoCAST-long-term</t>
  </si>
  <si>
    <t>AVERAGE1</t>
  </si>
  <si>
    <t>AVERAGE10</t>
  </si>
  <si>
    <t>ifo-qoq-subset</t>
  </si>
  <si>
    <t>ifo/ifoCAST</t>
  </si>
  <si>
    <t>AR2/ifoCAST</t>
  </si>
  <si>
    <t>AVG1/ifoCAST</t>
  </si>
  <si>
    <t>AVGG10-ifoCAST</t>
  </si>
  <si>
    <t>ifo Konjunkturprognose</t>
  </si>
  <si>
    <t>ifoCAST</t>
  </si>
  <si>
    <t>AVERAGE-1/ifoCAST_matched/</t>
  </si>
  <si>
    <t>AVERAGE-10/ifoCAST_matched</t>
  </si>
  <si>
    <t>AR2-50/ifoCAST_matched</t>
  </si>
  <si>
    <t>Rot bedeutet niedrigerer Fehler des Zählers</t>
  </si>
  <si>
    <t>AVERAGE-1/ifoCAST_last_report</t>
  </si>
  <si>
    <t>AVERAGE-1/ifoCAST_full</t>
  </si>
  <si>
    <t>AVERAGE-10/ifoCAST_last_report</t>
  </si>
  <si>
    <t>AVERAGE-10/ifoCAST_full</t>
  </si>
  <si>
    <t>AR2-50/ifoCAST_last_report</t>
  </si>
  <si>
    <t>AR2-50/ifoCAST_full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</si>
</sst>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2" fillId="0" borderId="4" xfId="0" applyFont="1" applyBorder="1" applyAlignment="1">
      <alignment horizontal="center" vertical="top"/>
    </xf>
    <xf numFmtId="0" fontId="0" fillId="0" borderId="3" xfId="0" applyBorder="1"/>
    <xf numFmtId="0" fontId="1" fillId="3" borderId="0" xfId="0" applyFont="1" applyFill="1"/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top"/>
    </xf>
    <xf numFmtId="0" fontId="1" fillId="0" borderId="4" xfId="0" applyFont="1" applyBorder="1" applyAlignment="1">
      <alignment horizontal="center"/>
    </xf>
    <xf numFmtId="0" fontId="0" fillId="4" borderId="0" xfId="0" applyFill="1"/>
  </cellXfs>
  <cellStyles count="1">
    <cellStyle name="Standard" xfId="0" builtinId="0"/>
  </cellStyles>
  <dxfs count="18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Z41"/>
  <sheetViews>
    <sheetView zoomScale="75" zoomScaleNormal="115" workbookViewId="0">
      <selection activeCell="H42" sqref="H42"/>
    </sheetView>
  </sheetViews>
  <sheetFormatPr baseColWidth="10" defaultColWidth="8.7265625" defaultRowHeight="14.5" x14ac:dyDescent="0.35"/>
  <cols>
    <col min="10" max="10" width="11.453125" customWidth="1"/>
    <col min="18" max="18" width="10.26953125" customWidth="1"/>
    <col min="26" max="26" width="13.81640625" customWidth="1"/>
  </cols>
  <sheetData>
    <row r="3" spans="2:24" x14ac:dyDescent="0.35">
      <c r="B3" s="3" t="s">
        <v>14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J3" s="11" t="s">
        <v>28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1" t="s">
        <v>5</v>
      </c>
      <c r="R3" s="11" t="s">
        <v>29</v>
      </c>
      <c r="S3" s="1" t="s">
        <v>0</v>
      </c>
      <c r="T3" s="1" t="s">
        <v>1</v>
      </c>
      <c r="U3" s="1" t="s">
        <v>2</v>
      </c>
      <c r="V3" s="1" t="s">
        <v>3</v>
      </c>
      <c r="W3" s="1" t="s">
        <v>4</v>
      </c>
      <c r="X3" s="1" t="s">
        <v>5</v>
      </c>
    </row>
    <row r="4" spans="2:24" x14ac:dyDescent="0.35">
      <c r="B4" s="1" t="s">
        <v>6</v>
      </c>
      <c r="C4">
        <v>-0.161135686329971</v>
      </c>
      <c r="D4">
        <v>1.2115421806429061</v>
      </c>
      <c r="E4">
        <v>7.7259292175626761</v>
      </c>
      <c r="F4">
        <v>2.7795555791461841</v>
      </c>
      <c r="G4">
        <v>2.8024924260944428</v>
      </c>
      <c r="H4">
        <v>51</v>
      </c>
      <c r="J4" s="1" t="s">
        <v>6</v>
      </c>
      <c r="K4">
        <v>-7.4198827318200405E-2</v>
      </c>
      <c r="L4">
        <v>1.3377577212727589</v>
      </c>
      <c r="M4">
        <v>9.8275961443126452</v>
      </c>
      <c r="N4">
        <v>3.1348997024327021</v>
      </c>
      <c r="O4">
        <v>3.165206548063491</v>
      </c>
      <c r="P4">
        <v>51</v>
      </c>
      <c r="R4" s="1" t="s">
        <v>6</v>
      </c>
      <c r="S4">
        <v>1.5211774107570851E-2</v>
      </c>
      <c r="T4">
        <v>0.97081676857348764</v>
      </c>
      <c r="U4">
        <v>4.1871587990284844</v>
      </c>
      <c r="V4">
        <v>2.0462548226035979</v>
      </c>
      <c r="W4">
        <v>2.0665589633436841</v>
      </c>
      <c r="X4">
        <v>51</v>
      </c>
    </row>
    <row r="5" spans="2:24" x14ac:dyDescent="0.35">
      <c r="B5" s="1" t="s">
        <v>7</v>
      </c>
      <c r="C5">
        <v>2.8814851587131051E-2</v>
      </c>
      <c r="D5">
        <v>1.210525769176676</v>
      </c>
      <c r="E5">
        <v>5.6864507146228256</v>
      </c>
      <c r="F5">
        <v>2.384628003404897</v>
      </c>
      <c r="G5">
        <v>2.4086621782070941</v>
      </c>
      <c r="H5">
        <v>50</v>
      </c>
      <c r="J5" s="1" t="s">
        <v>7</v>
      </c>
      <c r="K5">
        <v>-3.1871937514927402E-2</v>
      </c>
      <c r="L5">
        <v>1.484978161934237</v>
      </c>
      <c r="M5">
        <v>9.2291471914426708</v>
      </c>
      <c r="N5">
        <v>3.03795115027261</v>
      </c>
      <c r="O5">
        <v>3.0686251942352989</v>
      </c>
      <c r="P5">
        <v>50</v>
      </c>
      <c r="R5" s="1" t="s">
        <v>7</v>
      </c>
      <c r="S5">
        <v>6.8446270473337248E-2</v>
      </c>
      <c r="T5">
        <v>1.0928014586243719</v>
      </c>
      <c r="U5">
        <v>4.5037107269941563</v>
      </c>
      <c r="V5">
        <v>2.1221947900685638</v>
      </c>
      <c r="W5">
        <v>2.142625186267777</v>
      </c>
      <c r="X5">
        <v>50</v>
      </c>
    </row>
    <row r="6" spans="2:24" x14ac:dyDescent="0.35">
      <c r="B6" s="1" t="s">
        <v>8</v>
      </c>
      <c r="C6">
        <v>-0.1061066575912558</v>
      </c>
      <c r="D6">
        <v>1.0352403185191219</v>
      </c>
      <c r="E6">
        <v>4.5462330529224717</v>
      </c>
      <c r="F6">
        <v>2.1321897319240781</v>
      </c>
      <c r="G6">
        <v>2.1516163840467661</v>
      </c>
      <c r="H6">
        <v>49</v>
      </c>
      <c r="J6" s="1" t="s">
        <v>8</v>
      </c>
      <c r="K6">
        <v>-7.7638773612778933E-2</v>
      </c>
      <c r="L6">
        <v>1.390091861491201</v>
      </c>
      <c r="M6">
        <v>6.9714963539143966</v>
      </c>
      <c r="N6">
        <v>2.640359133510894</v>
      </c>
      <c r="O6">
        <v>2.6665675508763789</v>
      </c>
      <c r="P6">
        <v>49</v>
      </c>
      <c r="R6" s="1" t="s">
        <v>8</v>
      </c>
      <c r="S6">
        <v>2.116772330918306E-2</v>
      </c>
      <c r="T6">
        <v>0.97332974421270901</v>
      </c>
      <c r="U6">
        <v>3.9452494526840951</v>
      </c>
      <c r="V6">
        <v>1.986265202002012</v>
      </c>
      <c r="W6">
        <v>2.006734846027487</v>
      </c>
      <c r="X6">
        <v>49</v>
      </c>
    </row>
    <row r="7" spans="2:24" x14ac:dyDescent="0.35">
      <c r="B7" s="1" t="s">
        <v>9</v>
      </c>
      <c r="C7">
        <v>5.2698383433310528E-2</v>
      </c>
      <c r="D7">
        <v>1.167533927336454</v>
      </c>
      <c r="E7">
        <v>5.3129275617481344</v>
      </c>
      <c r="F7">
        <v>2.304978863622861</v>
      </c>
      <c r="G7">
        <v>2.3287619814898051</v>
      </c>
      <c r="H7">
        <v>48</v>
      </c>
      <c r="J7" s="1" t="s">
        <v>9</v>
      </c>
      <c r="K7">
        <v>-2.7173285822411999E-3</v>
      </c>
      <c r="L7">
        <v>1.635040883269796</v>
      </c>
      <c r="M7">
        <v>9.6498229691260828</v>
      </c>
      <c r="N7">
        <v>3.1064164191437831</v>
      </c>
      <c r="O7">
        <v>3.139288264952675</v>
      </c>
      <c r="P7">
        <v>48</v>
      </c>
      <c r="R7" s="1" t="s">
        <v>9</v>
      </c>
      <c r="S7">
        <v>0.10050846687517</v>
      </c>
      <c r="T7">
        <v>1.1184274198030171</v>
      </c>
      <c r="U7">
        <v>4.7270281838800567</v>
      </c>
      <c r="V7">
        <v>2.17417298849012</v>
      </c>
      <c r="W7">
        <v>2.1948317394646661</v>
      </c>
      <c r="X7">
        <v>48</v>
      </c>
    </row>
    <row r="8" spans="2:24" x14ac:dyDescent="0.35">
      <c r="B8" s="1" t="s">
        <v>10</v>
      </c>
      <c r="C8">
        <v>-7.2159486745402387E-2</v>
      </c>
      <c r="D8">
        <v>1.0263528086104099</v>
      </c>
      <c r="E8">
        <v>4.6416905239430744</v>
      </c>
      <c r="F8">
        <v>2.1544582901377032</v>
      </c>
      <c r="G8">
        <v>2.1765285784215238</v>
      </c>
      <c r="H8">
        <v>47</v>
      </c>
      <c r="J8" s="1" t="s">
        <v>10</v>
      </c>
      <c r="K8">
        <v>-0.10335232393455381</v>
      </c>
      <c r="L8">
        <v>1.503069249315635</v>
      </c>
      <c r="M8">
        <v>8.6861827929251412</v>
      </c>
      <c r="N8">
        <v>2.947233074075605</v>
      </c>
      <c r="O8">
        <v>2.9772636664975498</v>
      </c>
      <c r="P8">
        <v>47</v>
      </c>
      <c r="R8" s="1" t="s">
        <v>10</v>
      </c>
      <c r="S8">
        <v>1.9229211935270081E-4</v>
      </c>
      <c r="T8">
        <v>0.9715821074844706</v>
      </c>
      <c r="U8">
        <v>4.0362522451573373</v>
      </c>
      <c r="V8">
        <v>2.0090426190495161</v>
      </c>
      <c r="W8">
        <v>2.0307626206433889</v>
      </c>
      <c r="X8">
        <v>47</v>
      </c>
    </row>
    <row r="9" spans="2:24" x14ac:dyDescent="0.35">
      <c r="B9" s="1" t="s">
        <v>11</v>
      </c>
      <c r="C9">
        <v>-1.8427703506549251E-2</v>
      </c>
      <c r="D9">
        <v>1.148981759959107</v>
      </c>
      <c r="E9">
        <v>5.6686244346720516</v>
      </c>
      <c r="F9">
        <v>2.38088732086843</v>
      </c>
      <c r="G9">
        <v>2.4155742826167681</v>
      </c>
      <c r="H9">
        <v>35</v>
      </c>
      <c r="J9" s="1" t="s">
        <v>11</v>
      </c>
      <c r="K9">
        <v>-0.1086738861366906</v>
      </c>
      <c r="L9">
        <v>1.81155665319038</v>
      </c>
      <c r="M9">
        <v>10.58672230885573</v>
      </c>
      <c r="N9">
        <v>3.253724375059408</v>
      </c>
      <c r="O9">
        <v>3.2993846589240241</v>
      </c>
      <c r="P9">
        <v>35</v>
      </c>
      <c r="R9" s="1" t="s">
        <v>11</v>
      </c>
      <c r="S9">
        <v>3.9796674177473013E-2</v>
      </c>
      <c r="T9">
        <v>1.061946155833414</v>
      </c>
      <c r="U9">
        <v>5.0743640439892657</v>
      </c>
      <c r="V9">
        <v>2.252634911384725</v>
      </c>
      <c r="W9">
        <v>2.2851651337226651</v>
      </c>
      <c r="X9">
        <v>35</v>
      </c>
    </row>
    <row r="10" spans="2:24" x14ac:dyDescent="0.35">
      <c r="B10" s="1" t="s">
        <v>12</v>
      </c>
      <c r="C10">
        <v>-2.5679278418047381E-2</v>
      </c>
      <c r="D10">
        <v>1.1714540341780799</v>
      </c>
      <c r="E10">
        <v>5.7332301382022601</v>
      </c>
      <c r="F10">
        <v>2.3944164504534839</v>
      </c>
      <c r="G10">
        <v>2.4302849579603452</v>
      </c>
      <c r="H10">
        <v>34</v>
      </c>
      <c r="J10" s="1" t="s">
        <v>12</v>
      </c>
      <c r="K10">
        <v>-0.1026103124608949</v>
      </c>
      <c r="L10">
        <v>1.862903287318481</v>
      </c>
      <c r="M10">
        <v>11.25949010917723</v>
      </c>
      <c r="N10">
        <v>3.3555163699760469</v>
      </c>
      <c r="O10">
        <v>3.404385237612471</v>
      </c>
      <c r="P10">
        <v>34</v>
      </c>
      <c r="R10" s="1" t="s">
        <v>12</v>
      </c>
      <c r="S10">
        <v>3.7852457256600518E-2</v>
      </c>
      <c r="T10">
        <v>1.0441913369555811</v>
      </c>
      <c r="U10">
        <v>5.1994130615372463</v>
      </c>
      <c r="V10">
        <v>2.2802221517951371</v>
      </c>
      <c r="W10">
        <v>2.31419420233882</v>
      </c>
      <c r="X10">
        <v>34</v>
      </c>
    </row>
    <row r="11" spans="2:24" x14ac:dyDescent="0.35">
      <c r="B11" s="1"/>
      <c r="C11">
        <v>4.68810689965449E-2</v>
      </c>
      <c r="D11">
        <v>1.5900596719353679</v>
      </c>
      <c r="E11">
        <v>9.7213431563238153</v>
      </c>
      <c r="F11">
        <v>3.1179068549788038</v>
      </c>
      <c r="G11">
        <v>3.2135015021467481</v>
      </c>
      <c r="H11">
        <v>17</v>
      </c>
      <c r="K11">
        <v>1.927813215077312E-2</v>
      </c>
      <c r="L11">
        <v>2.75967897589998</v>
      </c>
      <c r="M11">
        <v>20.271564340600719</v>
      </c>
      <c r="N11">
        <v>4.5023954002953497</v>
      </c>
      <c r="O11">
        <v>4.6409204084545923</v>
      </c>
      <c r="P11">
        <v>17</v>
      </c>
      <c r="S11">
        <v>9.2005151231782691E-3</v>
      </c>
      <c r="T11">
        <v>1.5242032041516449</v>
      </c>
      <c r="U11">
        <v>9.7055960276607109</v>
      </c>
      <c r="V11">
        <v>3.1153805590426211</v>
      </c>
      <c r="W11">
        <v>3.2112467733449832</v>
      </c>
      <c r="X11">
        <v>17</v>
      </c>
    </row>
    <row r="12" spans="2:24" x14ac:dyDescent="0.35">
      <c r="B12" s="1"/>
      <c r="C12">
        <v>-0.86681287400583751</v>
      </c>
      <c r="D12">
        <v>1.3089678800919671</v>
      </c>
      <c r="E12">
        <v>7.3545094647727707</v>
      </c>
      <c r="F12">
        <v>2.7119198853898272</v>
      </c>
      <c r="G12">
        <v>2.7086579100339452</v>
      </c>
      <c r="H12">
        <v>10</v>
      </c>
      <c r="K12">
        <v>-0.72182147206347058</v>
      </c>
      <c r="L12">
        <v>3.2762021971135469</v>
      </c>
      <c r="M12">
        <v>25.350775290553891</v>
      </c>
      <c r="N12">
        <v>5.0349553414656913</v>
      </c>
      <c r="O12">
        <v>5.2524860836477574</v>
      </c>
      <c r="P12">
        <v>10</v>
      </c>
      <c r="S12">
        <v>-0.95645927464549041</v>
      </c>
      <c r="T12">
        <v>1.1283222870228999</v>
      </c>
      <c r="U12">
        <v>6.8533077273637009</v>
      </c>
      <c r="V12">
        <v>2.617882298225743</v>
      </c>
      <c r="W12">
        <v>2.5687206896534498</v>
      </c>
      <c r="X12">
        <v>10</v>
      </c>
    </row>
    <row r="13" spans="2:24" x14ac:dyDescent="0.35">
      <c r="B13" s="1"/>
      <c r="C13">
        <v>-0.174551384566527</v>
      </c>
      <c r="D13">
        <v>0.50190074333287293</v>
      </c>
      <c r="E13">
        <v>0.31355977358877779</v>
      </c>
      <c r="F13">
        <v>0.55996408240955753</v>
      </c>
      <c r="G13">
        <v>0.59486509787375974</v>
      </c>
      <c r="H13">
        <v>5</v>
      </c>
      <c r="K13">
        <v>-1.720494079722598</v>
      </c>
      <c r="L13">
        <v>2.484259750223869</v>
      </c>
      <c r="M13">
        <v>18.31067100159694</v>
      </c>
      <c r="N13">
        <v>4.2790969843644513</v>
      </c>
      <c r="O13">
        <v>4.3804353555377968</v>
      </c>
      <c r="P13">
        <v>5</v>
      </c>
      <c r="S13">
        <v>-0.24856666637218799</v>
      </c>
      <c r="T13">
        <v>0.30137453383534801</v>
      </c>
      <c r="U13">
        <v>0.15615410053025561</v>
      </c>
      <c r="V13">
        <v>0.39516338460218647</v>
      </c>
      <c r="W13">
        <v>0.34345435085843817</v>
      </c>
      <c r="X13">
        <v>5</v>
      </c>
    </row>
    <row r="15" spans="2:24" x14ac:dyDescent="0.35">
      <c r="B15" s="4" t="s">
        <v>13</v>
      </c>
      <c r="C15" s="1" t="s">
        <v>0</v>
      </c>
      <c r="D15" s="1" t="s">
        <v>1</v>
      </c>
      <c r="E15" s="1" t="s">
        <v>2</v>
      </c>
      <c r="F15" s="1" t="s">
        <v>3</v>
      </c>
      <c r="G15" s="1" t="s">
        <v>4</v>
      </c>
      <c r="H15" s="1" t="s">
        <v>5</v>
      </c>
      <c r="J15" s="4" t="s">
        <v>13</v>
      </c>
      <c r="K15" s="1" t="s">
        <v>0</v>
      </c>
      <c r="L15" s="1" t="s">
        <v>1</v>
      </c>
      <c r="M15" s="1" t="s">
        <v>2</v>
      </c>
      <c r="N15" s="1" t="s">
        <v>3</v>
      </c>
      <c r="O15" s="1" t="s">
        <v>4</v>
      </c>
      <c r="P15" s="1" t="s">
        <v>5</v>
      </c>
      <c r="R15" s="4" t="s">
        <v>13</v>
      </c>
      <c r="S15" s="1" t="s">
        <v>0</v>
      </c>
      <c r="T15" s="1" t="s">
        <v>1</v>
      </c>
      <c r="U15" s="1" t="s">
        <v>2</v>
      </c>
      <c r="V15" s="1" t="s">
        <v>3</v>
      </c>
      <c r="W15" s="1" t="s">
        <v>4</v>
      </c>
      <c r="X15" s="1" t="s">
        <v>5</v>
      </c>
    </row>
    <row r="16" spans="2:24" x14ac:dyDescent="0.35">
      <c r="B16" s="1" t="s">
        <v>6</v>
      </c>
      <c r="C16">
        <v>-0.10792154582425641</v>
      </c>
      <c r="D16">
        <v>0.49908458311787263</v>
      </c>
      <c r="E16">
        <v>0.63103036649152189</v>
      </c>
      <c r="F16">
        <v>0.79437419802730369</v>
      </c>
      <c r="G16">
        <v>0.79484021826225748</v>
      </c>
      <c r="H16">
        <v>51</v>
      </c>
      <c r="J16" s="1" t="s">
        <v>6</v>
      </c>
      <c r="K16">
        <v>-0.10792154582425641</v>
      </c>
      <c r="L16">
        <v>0.49908458311787263</v>
      </c>
      <c r="M16">
        <v>0.63103036649152189</v>
      </c>
      <c r="N16">
        <v>0.79437419802730369</v>
      </c>
      <c r="O16">
        <v>0.79484021826225748</v>
      </c>
      <c r="P16">
        <v>51</v>
      </c>
      <c r="R16" s="1" t="s">
        <v>6</v>
      </c>
      <c r="S16">
        <v>-0.10792154582425641</v>
      </c>
      <c r="T16">
        <v>0.49908458311787263</v>
      </c>
      <c r="U16">
        <v>0.63103036649152189</v>
      </c>
      <c r="V16">
        <v>0.79437419802730369</v>
      </c>
      <c r="W16">
        <v>0.79484021826225748</v>
      </c>
      <c r="X16">
        <v>51</v>
      </c>
    </row>
    <row r="17" spans="2:26" x14ac:dyDescent="0.35">
      <c r="B17" s="1" t="s">
        <v>7</v>
      </c>
      <c r="C17">
        <v>0.37137783119631929</v>
      </c>
      <c r="D17">
        <v>0.73651674461704542</v>
      </c>
      <c r="E17">
        <v>1.455560046373499</v>
      </c>
      <c r="F17">
        <v>1.2064659325374669</v>
      </c>
      <c r="G17">
        <v>1.159538328638186</v>
      </c>
      <c r="H17">
        <v>50</v>
      </c>
      <c r="J17" s="1" t="s">
        <v>7</v>
      </c>
      <c r="K17">
        <v>0.37137783119631929</v>
      </c>
      <c r="L17">
        <v>0.73651674461704542</v>
      </c>
      <c r="M17">
        <v>1.455560046373499</v>
      </c>
      <c r="N17">
        <v>1.2064659325374669</v>
      </c>
      <c r="O17">
        <v>1.159538328638186</v>
      </c>
      <c r="P17">
        <v>50</v>
      </c>
      <c r="R17" s="1" t="s">
        <v>7</v>
      </c>
      <c r="S17">
        <v>0.37137783119631929</v>
      </c>
      <c r="T17">
        <v>0.73651674461704542</v>
      </c>
      <c r="U17">
        <v>1.455560046373499</v>
      </c>
      <c r="V17">
        <v>1.2064659325374669</v>
      </c>
      <c r="W17">
        <v>1.159538328638186</v>
      </c>
      <c r="X17">
        <v>50</v>
      </c>
    </row>
    <row r="18" spans="2:26" x14ac:dyDescent="0.35">
      <c r="B18" s="1" t="s">
        <v>8</v>
      </c>
      <c r="C18">
        <v>0.46091059659263961</v>
      </c>
      <c r="D18">
        <v>1.00885168430549</v>
      </c>
      <c r="E18">
        <v>3.578481368703621</v>
      </c>
      <c r="F18">
        <v>1.891687439484552</v>
      </c>
      <c r="G18">
        <v>1.85369055727329</v>
      </c>
      <c r="H18">
        <v>49</v>
      </c>
      <c r="J18" s="1" t="s">
        <v>8</v>
      </c>
      <c r="K18">
        <v>0.46091059659263961</v>
      </c>
      <c r="L18">
        <v>1.00885168430549</v>
      </c>
      <c r="M18">
        <v>3.578481368703621</v>
      </c>
      <c r="N18">
        <v>1.891687439484552</v>
      </c>
      <c r="O18">
        <v>1.85369055727329</v>
      </c>
      <c r="P18">
        <v>49</v>
      </c>
      <c r="R18" s="1" t="s">
        <v>8</v>
      </c>
      <c r="S18">
        <v>0.46091059659263961</v>
      </c>
      <c r="T18">
        <v>1.00885168430549</v>
      </c>
      <c r="U18">
        <v>3.578481368703621</v>
      </c>
      <c r="V18">
        <v>1.891687439484552</v>
      </c>
      <c r="W18">
        <v>1.85369055727329</v>
      </c>
      <c r="X18">
        <v>49</v>
      </c>
    </row>
    <row r="19" spans="2:26" x14ac:dyDescent="0.35">
      <c r="B19" s="1" t="s">
        <v>9</v>
      </c>
      <c r="C19">
        <v>0.42657319763961171</v>
      </c>
      <c r="D19">
        <v>1.138403783358868</v>
      </c>
      <c r="E19">
        <v>4.5573948200861727</v>
      </c>
      <c r="F19">
        <v>2.134805569621312</v>
      </c>
      <c r="G19">
        <v>2.1138884514481791</v>
      </c>
      <c r="H19">
        <v>48</v>
      </c>
      <c r="J19" s="1" t="s">
        <v>9</v>
      </c>
      <c r="K19">
        <v>0.42657319763961171</v>
      </c>
      <c r="L19">
        <v>1.138403783358868</v>
      </c>
      <c r="M19">
        <v>4.5573948200861727</v>
      </c>
      <c r="N19">
        <v>2.134805569621312</v>
      </c>
      <c r="O19">
        <v>2.1138884514481791</v>
      </c>
      <c r="P19">
        <v>48</v>
      </c>
      <c r="R19" s="1" t="s">
        <v>9</v>
      </c>
      <c r="S19">
        <v>0.42657319763961171</v>
      </c>
      <c r="T19">
        <v>1.138403783358868</v>
      </c>
      <c r="U19">
        <v>4.5573948200861727</v>
      </c>
      <c r="V19">
        <v>2.134805569621312</v>
      </c>
      <c r="W19">
        <v>2.1138884514481791</v>
      </c>
      <c r="X19">
        <v>48</v>
      </c>
    </row>
    <row r="20" spans="2:26" x14ac:dyDescent="0.35">
      <c r="B20" s="1" t="s">
        <v>10</v>
      </c>
      <c r="C20">
        <v>0.25779807801485682</v>
      </c>
      <c r="D20">
        <v>0.94757931770382064</v>
      </c>
      <c r="E20">
        <v>3.943416922645604</v>
      </c>
      <c r="F20">
        <v>1.985803847978346</v>
      </c>
      <c r="G20">
        <v>1.990286097306333</v>
      </c>
      <c r="H20">
        <v>47</v>
      </c>
      <c r="J20" s="1" t="s">
        <v>10</v>
      </c>
      <c r="K20">
        <v>0.25779807801485682</v>
      </c>
      <c r="L20">
        <v>0.94757931770382064</v>
      </c>
      <c r="M20">
        <v>3.943416922645604</v>
      </c>
      <c r="N20">
        <v>1.985803847978346</v>
      </c>
      <c r="O20">
        <v>1.990286097306333</v>
      </c>
      <c r="P20">
        <v>47</v>
      </c>
      <c r="R20" s="1" t="s">
        <v>10</v>
      </c>
      <c r="S20">
        <v>0.25779807801485682</v>
      </c>
      <c r="T20">
        <v>0.94757931770382064</v>
      </c>
      <c r="U20">
        <v>3.943416922645604</v>
      </c>
      <c r="V20">
        <v>1.985803847978346</v>
      </c>
      <c r="W20">
        <v>1.990286097306333</v>
      </c>
      <c r="X20">
        <v>47</v>
      </c>
    </row>
    <row r="21" spans="2:26" x14ac:dyDescent="0.35">
      <c r="B21" s="1" t="s">
        <v>11</v>
      </c>
      <c r="C21">
        <v>0.29362688022635219</v>
      </c>
      <c r="D21">
        <v>0.99972416800788699</v>
      </c>
      <c r="E21">
        <v>4.9054880599816739</v>
      </c>
      <c r="F21">
        <v>2.2148336416041889</v>
      </c>
      <c r="G21">
        <v>2.2273335154768339</v>
      </c>
      <c r="H21">
        <v>35</v>
      </c>
      <c r="J21" s="1" t="s">
        <v>11</v>
      </c>
      <c r="K21">
        <v>0.29362688022635219</v>
      </c>
      <c r="L21">
        <v>0.99972416800788699</v>
      </c>
      <c r="M21">
        <v>4.9054880599816739</v>
      </c>
      <c r="N21">
        <v>2.2148336416041889</v>
      </c>
      <c r="O21">
        <v>2.2273335154768339</v>
      </c>
      <c r="P21">
        <v>35</v>
      </c>
      <c r="R21" s="1" t="s">
        <v>11</v>
      </c>
      <c r="S21">
        <v>0.29362688022635219</v>
      </c>
      <c r="T21">
        <v>0.99972416800788699</v>
      </c>
      <c r="U21">
        <v>4.9054880599816739</v>
      </c>
      <c r="V21">
        <v>2.2148336416041889</v>
      </c>
      <c r="W21">
        <v>2.2273335154768339</v>
      </c>
      <c r="X21">
        <v>35</v>
      </c>
    </row>
    <row r="22" spans="2:26" x14ac:dyDescent="0.35">
      <c r="B22" s="1" t="s">
        <v>12</v>
      </c>
      <c r="C22">
        <v>0.23392878744859771</v>
      </c>
      <c r="D22">
        <v>1.007627164027908</v>
      </c>
      <c r="E22">
        <v>5.0036476540141308</v>
      </c>
      <c r="F22">
        <v>2.2368834690287578</v>
      </c>
      <c r="G22">
        <v>2.2580727180373859</v>
      </c>
      <c r="H22">
        <v>34</v>
      </c>
      <c r="J22" s="1" t="s">
        <v>12</v>
      </c>
      <c r="K22">
        <v>0.23392878744859771</v>
      </c>
      <c r="L22">
        <v>1.007627164027908</v>
      </c>
      <c r="M22">
        <v>5.0036476540141308</v>
      </c>
      <c r="N22">
        <v>2.2368834690287578</v>
      </c>
      <c r="O22">
        <v>2.2580727180373859</v>
      </c>
      <c r="P22">
        <v>34</v>
      </c>
      <c r="R22" s="1" t="s">
        <v>12</v>
      </c>
      <c r="S22">
        <v>0.23392878744859771</v>
      </c>
      <c r="T22">
        <v>1.007627164027908</v>
      </c>
      <c r="U22">
        <v>5.0036476540141308</v>
      </c>
      <c r="V22">
        <v>2.2368834690287578</v>
      </c>
      <c r="W22">
        <v>2.2580727180373859</v>
      </c>
      <c r="X22">
        <v>34</v>
      </c>
    </row>
    <row r="23" spans="2:26" x14ac:dyDescent="0.35">
      <c r="B23" s="1"/>
      <c r="C23">
        <v>0.18076896037035939</v>
      </c>
      <c r="D23">
        <v>1.4973429488230481</v>
      </c>
      <c r="E23">
        <v>9.5110940630790139</v>
      </c>
      <c r="F23">
        <v>3.0840061710507349</v>
      </c>
      <c r="G23">
        <v>3.173455165340056</v>
      </c>
      <c r="H23">
        <v>17</v>
      </c>
      <c r="J23" s="1"/>
      <c r="K23">
        <v>0.18076896037035939</v>
      </c>
      <c r="L23">
        <v>1.4973429488230481</v>
      </c>
      <c r="M23">
        <v>9.5110940630790139</v>
      </c>
      <c r="N23">
        <v>3.0840061710507349</v>
      </c>
      <c r="O23">
        <v>3.173455165340056</v>
      </c>
      <c r="P23">
        <v>17</v>
      </c>
      <c r="R23" s="1"/>
      <c r="S23">
        <v>0.18076896037035939</v>
      </c>
      <c r="T23">
        <v>1.4973429488230481</v>
      </c>
      <c r="U23">
        <v>9.5110940630790139</v>
      </c>
      <c r="V23">
        <v>3.0840061710507349</v>
      </c>
      <c r="W23">
        <v>3.173455165340056</v>
      </c>
      <c r="X23">
        <v>17</v>
      </c>
      <c r="Z23" s="5"/>
    </row>
    <row r="24" spans="2:26" x14ac:dyDescent="0.35">
      <c r="B24" s="1"/>
      <c r="C24">
        <v>-0.68789777260650575</v>
      </c>
      <c r="D24">
        <v>1.1603632597961699</v>
      </c>
      <c r="E24">
        <v>7.183952125666254</v>
      </c>
      <c r="F24">
        <v>2.6802895600412748</v>
      </c>
      <c r="G24">
        <v>2.730638667684675</v>
      </c>
      <c r="H24">
        <v>10</v>
      </c>
      <c r="J24" s="1"/>
      <c r="K24">
        <v>-0.68789777260650575</v>
      </c>
      <c r="L24">
        <v>1.1603632597961699</v>
      </c>
      <c r="M24">
        <v>7.183952125666254</v>
      </c>
      <c r="N24">
        <v>2.6802895600412748</v>
      </c>
      <c r="O24">
        <v>2.730638667684675</v>
      </c>
      <c r="P24">
        <v>10</v>
      </c>
      <c r="R24" s="1"/>
      <c r="S24">
        <v>-0.68789777260650575</v>
      </c>
      <c r="T24">
        <v>1.1603632597961699</v>
      </c>
      <c r="U24">
        <v>7.183952125666254</v>
      </c>
      <c r="V24">
        <v>2.6802895600412748</v>
      </c>
      <c r="W24">
        <v>2.730638667684675</v>
      </c>
      <c r="X24">
        <v>10</v>
      </c>
      <c r="Z24" s="5"/>
    </row>
    <row r="25" spans="2:26" x14ac:dyDescent="0.35">
      <c r="B25" s="1"/>
      <c r="C25">
        <v>0.1218082912510491</v>
      </c>
      <c r="D25">
        <v>0.46411688544292867</v>
      </c>
      <c r="E25">
        <v>0.26446048511953951</v>
      </c>
      <c r="F25">
        <v>0.51425721688619941</v>
      </c>
      <c r="G25">
        <v>0.55859558862163317</v>
      </c>
      <c r="H25">
        <v>5</v>
      </c>
      <c r="J25" s="1"/>
      <c r="K25">
        <v>0.1218082912510491</v>
      </c>
      <c r="L25">
        <v>0.46411688544292867</v>
      </c>
      <c r="M25">
        <v>0.26446048511953951</v>
      </c>
      <c r="N25">
        <v>0.51425721688619941</v>
      </c>
      <c r="O25">
        <v>0.55859558862163317</v>
      </c>
      <c r="P25">
        <v>5</v>
      </c>
      <c r="R25" s="1"/>
      <c r="S25">
        <v>0.1218082912510491</v>
      </c>
      <c r="T25">
        <v>0.46411688544292867</v>
      </c>
      <c r="U25">
        <v>0.26446048511953951</v>
      </c>
      <c r="V25">
        <v>0.51425721688619941</v>
      </c>
      <c r="W25">
        <v>0.55859558862163317</v>
      </c>
      <c r="X25">
        <v>5</v>
      </c>
      <c r="Z25" s="5"/>
    </row>
    <row r="26" spans="2:26" x14ac:dyDescent="0.35">
      <c r="R26" s="5"/>
      <c r="Z26" s="5"/>
    </row>
    <row r="27" spans="2:26" x14ac:dyDescent="0.35">
      <c r="R27" s="5"/>
      <c r="Z27" s="5"/>
    </row>
    <row r="28" spans="2:26" x14ac:dyDescent="0.35">
      <c r="R28" s="5"/>
      <c r="Z28" s="5"/>
    </row>
    <row r="29" spans="2:26" x14ac:dyDescent="0.35">
      <c r="D29" t="s">
        <v>15</v>
      </c>
      <c r="R29" s="5"/>
      <c r="Z29" s="5"/>
    </row>
    <row r="30" spans="2:26" x14ac:dyDescent="0.35">
      <c r="B30" s="2" t="s">
        <v>27</v>
      </c>
      <c r="D30" t="s">
        <v>20</v>
      </c>
      <c r="J30" s="2" t="s">
        <v>30</v>
      </c>
      <c r="L30" t="s">
        <v>20</v>
      </c>
      <c r="R30" s="2" t="s">
        <v>31</v>
      </c>
      <c r="T30" t="s">
        <v>20</v>
      </c>
      <c r="Z30" s="5"/>
    </row>
    <row r="31" spans="2:26" x14ac:dyDescent="0.35">
      <c r="C31" s="1" t="s">
        <v>0</v>
      </c>
      <c r="D31" s="1" t="s">
        <v>1</v>
      </c>
      <c r="E31" s="1" t="s">
        <v>2</v>
      </c>
      <c r="F31" s="1" t="s">
        <v>3</v>
      </c>
      <c r="G31" s="1" t="s">
        <v>4</v>
      </c>
      <c r="H31" s="1" t="s">
        <v>5</v>
      </c>
      <c r="K31" s="1" t="s">
        <v>0</v>
      </c>
      <c r="L31" s="1" t="s">
        <v>1</v>
      </c>
      <c r="M31" s="1" t="s">
        <v>2</v>
      </c>
      <c r="N31" s="1" t="s">
        <v>3</v>
      </c>
      <c r="O31" s="1" t="s">
        <v>4</v>
      </c>
      <c r="P31" s="1" t="s">
        <v>5</v>
      </c>
      <c r="S31" s="1" t="s">
        <v>0</v>
      </c>
      <c r="T31" s="1" t="s">
        <v>1</v>
      </c>
      <c r="U31" s="1" t="s">
        <v>2</v>
      </c>
      <c r="V31" s="1" t="s">
        <v>3</v>
      </c>
      <c r="W31" s="1" t="s">
        <v>4</v>
      </c>
      <c r="X31" s="1" t="s">
        <v>5</v>
      </c>
    </row>
    <row r="32" spans="2:26" x14ac:dyDescent="0.35">
      <c r="B32" s="1" t="s">
        <v>6</v>
      </c>
      <c r="C32">
        <f t="shared" ref="C32:C38" si="0">C4-C16</f>
        <v>-5.3214140505714588E-2</v>
      </c>
      <c r="D32">
        <f t="shared" ref="D32:G38" si="1">D4/D16</f>
        <v>2.4275287629086448</v>
      </c>
      <c r="E32">
        <f t="shared" si="1"/>
        <v>12.243355673227299</v>
      </c>
      <c r="F32">
        <f>F4/F16</f>
        <v>3.4990506817174429</v>
      </c>
      <c r="G32">
        <f t="shared" si="1"/>
        <v>3.5258563440856996</v>
      </c>
      <c r="H32">
        <f t="shared" ref="H32:H38" si="2">H4-H16</f>
        <v>0</v>
      </c>
      <c r="J32" s="1" t="s">
        <v>6</v>
      </c>
      <c r="K32">
        <f t="shared" ref="K32:K38" si="3">K4-K16</f>
        <v>3.3722718506056001E-2</v>
      </c>
      <c r="L32">
        <f t="shared" ref="L32:O38" si="4">L4/L16</f>
        <v>2.680422851203982</v>
      </c>
      <c r="M32">
        <f t="shared" si="4"/>
        <v>15.573887828811298</v>
      </c>
      <c r="N32">
        <f t="shared" si="4"/>
        <v>3.946376544225259</v>
      </c>
      <c r="O32">
        <f t="shared" si="4"/>
        <v>3.982192238565275</v>
      </c>
      <c r="P32">
        <f t="shared" ref="P32:P38" si="5">P4-P16</f>
        <v>0</v>
      </c>
      <c r="R32" s="1" t="s">
        <v>6</v>
      </c>
      <c r="S32">
        <f t="shared" ref="S32:S38" si="6">S4-S16</f>
        <v>0.12313331993182726</v>
      </c>
      <c r="T32">
        <f t="shared" ref="T32:W38" si="7">T4/T16</f>
        <v>1.9451948655849431</v>
      </c>
      <c r="U32">
        <f t="shared" si="7"/>
        <v>6.6354315439821869</v>
      </c>
      <c r="V32">
        <f t="shared" si="7"/>
        <v>2.5759331404332264</v>
      </c>
      <c r="W32">
        <f t="shared" si="7"/>
        <v>2.5999677870626106</v>
      </c>
      <c r="X32">
        <f t="shared" ref="X32:X38" si="8">X4-X16</f>
        <v>0</v>
      </c>
    </row>
    <row r="33" spans="2:24" x14ac:dyDescent="0.35">
      <c r="B33" s="1" t="s">
        <v>7</v>
      </c>
      <c r="C33">
        <f t="shared" si="0"/>
        <v>-0.34256297960918825</v>
      </c>
      <c r="D33">
        <f t="shared" si="1"/>
        <v>1.643582142597577</v>
      </c>
      <c r="E33">
        <f t="shared" si="1"/>
        <v>3.9067098116566972</v>
      </c>
      <c r="F33">
        <f t="shared" si="1"/>
        <v>1.9765398583526452</v>
      </c>
      <c r="G33">
        <f t="shared" si="1"/>
        <v>2.0772596461178954</v>
      </c>
      <c r="H33">
        <f t="shared" si="2"/>
        <v>0</v>
      </c>
      <c r="J33" s="1" t="s">
        <v>7</v>
      </c>
      <c r="K33">
        <f t="shared" si="3"/>
        <v>-0.40324976871124668</v>
      </c>
      <c r="L33">
        <f t="shared" si="4"/>
        <v>2.0162177883767693</v>
      </c>
      <c r="M33">
        <f t="shared" si="4"/>
        <v>6.3406159123678343</v>
      </c>
      <c r="N33">
        <f t="shared" si="4"/>
        <v>2.5180579644574972</v>
      </c>
      <c r="O33">
        <f t="shared" si="4"/>
        <v>2.6464198021286891</v>
      </c>
      <c r="P33">
        <f t="shared" si="5"/>
        <v>0</v>
      </c>
      <c r="R33" s="1" t="s">
        <v>7</v>
      </c>
      <c r="S33">
        <f t="shared" si="6"/>
        <v>-0.30293156072298205</v>
      </c>
      <c r="T33">
        <f t="shared" si="7"/>
        <v>1.4837428566441868</v>
      </c>
      <c r="U33">
        <f t="shared" si="7"/>
        <v>3.0941428615157913</v>
      </c>
      <c r="V33">
        <f t="shared" si="7"/>
        <v>1.7590175841974376</v>
      </c>
      <c r="W33">
        <f t="shared" si="7"/>
        <v>1.8478260988441602</v>
      </c>
      <c r="X33">
        <f t="shared" si="8"/>
        <v>0</v>
      </c>
    </row>
    <row r="34" spans="2:24" x14ac:dyDescent="0.35">
      <c r="B34" s="1" t="s">
        <v>8</v>
      </c>
      <c r="C34">
        <f t="shared" si="0"/>
        <v>-0.56701725418389537</v>
      </c>
      <c r="D34">
        <f t="shared" si="1"/>
        <v>1.0261570998236458</v>
      </c>
      <c r="E34">
        <f t="shared" si="1"/>
        <v>1.270436418275789</v>
      </c>
      <c r="F34">
        <f t="shared" si="1"/>
        <v>1.1271363796257263</v>
      </c>
      <c r="G34">
        <f t="shared" si="1"/>
        <v>1.1607203670561466</v>
      </c>
      <c r="H34">
        <f t="shared" si="2"/>
        <v>0</v>
      </c>
      <c r="J34" s="1" t="s">
        <v>8</v>
      </c>
      <c r="K34">
        <f t="shared" si="3"/>
        <v>-0.53854937020541849</v>
      </c>
      <c r="L34">
        <f t="shared" si="4"/>
        <v>1.3778951684539864</v>
      </c>
      <c r="M34">
        <f t="shared" si="4"/>
        <v>1.9481717621572989</v>
      </c>
      <c r="N34">
        <f t="shared" si="4"/>
        <v>1.3957692367140422</v>
      </c>
      <c r="O34">
        <f t="shared" si="4"/>
        <v>1.4385181714464796</v>
      </c>
      <c r="P34">
        <f t="shared" si="5"/>
        <v>0</v>
      </c>
      <c r="R34" s="1" t="s">
        <v>8</v>
      </c>
      <c r="S34">
        <f t="shared" si="6"/>
        <v>-0.43974287328345657</v>
      </c>
      <c r="T34">
        <f t="shared" si="7"/>
        <v>0.96478973010067892</v>
      </c>
      <c r="U34">
        <f t="shared" si="7"/>
        <v>1.102492662722272</v>
      </c>
      <c r="V34">
        <f t="shared" si="7"/>
        <v>1.0499965060524115</v>
      </c>
      <c r="W34">
        <f t="shared" si="7"/>
        <v>1.0825619401003581</v>
      </c>
      <c r="X34">
        <f t="shared" si="8"/>
        <v>0</v>
      </c>
    </row>
    <row r="35" spans="2:24" x14ac:dyDescent="0.35">
      <c r="B35" s="1" t="s">
        <v>9</v>
      </c>
      <c r="C35">
        <f t="shared" si="0"/>
        <v>-0.3738748142063012</v>
      </c>
      <c r="D35">
        <f t="shared" si="1"/>
        <v>1.0255885867592931</v>
      </c>
      <c r="E35">
        <f t="shared" si="1"/>
        <v>1.1657817177331316</v>
      </c>
      <c r="F35">
        <f t="shared" si="1"/>
        <v>1.079713720267151</v>
      </c>
      <c r="G35">
        <f t="shared" si="1"/>
        <v>1.101648471514389</v>
      </c>
      <c r="H35">
        <f t="shared" si="2"/>
        <v>0</v>
      </c>
      <c r="J35" s="1" t="s">
        <v>9</v>
      </c>
      <c r="K35">
        <f t="shared" si="3"/>
        <v>-0.42929052622185293</v>
      </c>
      <c r="L35">
        <f t="shared" si="4"/>
        <v>1.4362574221649167</v>
      </c>
      <c r="M35">
        <f t="shared" si="4"/>
        <v>2.1173989417365471</v>
      </c>
      <c r="N35">
        <f t="shared" si="4"/>
        <v>1.4551284966409483</v>
      </c>
      <c r="O35">
        <f t="shared" si="4"/>
        <v>1.4850775417227038</v>
      </c>
      <c r="P35">
        <f t="shared" si="5"/>
        <v>0</v>
      </c>
      <c r="R35" s="1" t="s">
        <v>9</v>
      </c>
      <c r="S35">
        <f t="shared" si="6"/>
        <v>-0.3260647307644417</v>
      </c>
      <c r="T35">
        <f t="shared" si="7"/>
        <v>0.98245230396467009</v>
      </c>
      <c r="U35">
        <f t="shared" si="7"/>
        <v>1.0372215641809759</v>
      </c>
      <c r="V35">
        <f t="shared" si="7"/>
        <v>1.018440751433767</v>
      </c>
      <c r="W35">
        <f t="shared" si="7"/>
        <v>1.0382911822811818</v>
      </c>
      <c r="X35">
        <f t="shared" si="8"/>
        <v>0</v>
      </c>
    </row>
    <row r="36" spans="2:24" x14ac:dyDescent="0.35">
      <c r="B36" s="1" t="s">
        <v>10</v>
      </c>
      <c r="C36">
        <f t="shared" si="0"/>
        <v>-0.32995756476025923</v>
      </c>
      <c r="D36">
        <f t="shared" si="1"/>
        <v>1.0831312898401726</v>
      </c>
      <c r="E36">
        <f t="shared" si="1"/>
        <v>1.1770732374980539</v>
      </c>
      <c r="F36">
        <f t="shared" si="1"/>
        <v>1.0849300611090347</v>
      </c>
      <c r="G36">
        <f t="shared" si="1"/>
        <v>1.0935757333416802</v>
      </c>
      <c r="H36">
        <f t="shared" si="2"/>
        <v>0</v>
      </c>
      <c r="J36" s="1" t="s">
        <v>10</v>
      </c>
      <c r="K36">
        <f t="shared" si="3"/>
        <v>-0.36115040194941062</v>
      </c>
      <c r="L36">
        <f t="shared" si="4"/>
        <v>1.5862199831016579</v>
      </c>
      <c r="M36">
        <f t="shared" si="4"/>
        <v>2.202704650133128</v>
      </c>
      <c r="N36">
        <f t="shared" si="4"/>
        <v>1.4841511547457444</v>
      </c>
      <c r="O36">
        <f t="shared" si="4"/>
        <v>1.4958973338189918</v>
      </c>
      <c r="P36">
        <f t="shared" si="5"/>
        <v>0</v>
      </c>
      <c r="R36" s="1" t="s">
        <v>10</v>
      </c>
      <c r="S36">
        <f t="shared" si="6"/>
        <v>-0.25760578589550415</v>
      </c>
      <c r="T36">
        <f t="shared" si="7"/>
        <v>1.025330639168881</v>
      </c>
      <c r="U36">
        <f t="shared" si="7"/>
        <v>1.0235418481821219</v>
      </c>
      <c r="V36">
        <f t="shared" si="7"/>
        <v>1.0117024504181662</v>
      </c>
      <c r="W36">
        <f t="shared" si="7"/>
        <v>1.0203370376710348</v>
      </c>
      <c r="X36">
        <f t="shared" si="8"/>
        <v>0</v>
      </c>
    </row>
    <row r="37" spans="2:24" x14ac:dyDescent="0.35">
      <c r="B37" s="1" t="s">
        <v>11</v>
      </c>
      <c r="C37">
        <f t="shared" si="0"/>
        <v>-0.31205458373290146</v>
      </c>
      <c r="D37">
        <f t="shared" si="1"/>
        <v>1.1492987733292874</v>
      </c>
      <c r="E37">
        <f t="shared" si="1"/>
        <v>1.1555678793545425</v>
      </c>
      <c r="F37">
        <f t="shared" si="1"/>
        <v>1.0749734319296187</v>
      </c>
      <c r="G37">
        <f t="shared" si="1"/>
        <v>1.0845139561865906</v>
      </c>
      <c r="H37">
        <f t="shared" si="2"/>
        <v>0</v>
      </c>
      <c r="J37" s="1" t="s">
        <v>11</v>
      </c>
      <c r="K37">
        <f t="shared" si="3"/>
        <v>-0.40230076636304279</v>
      </c>
      <c r="L37">
        <f t="shared" si="4"/>
        <v>1.8120564763380695</v>
      </c>
      <c r="M37">
        <f t="shared" si="4"/>
        <v>2.1581384317741628</v>
      </c>
      <c r="N37">
        <f t="shared" si="4"/>
        <v>1.469060390785268</v>
      </c>
      <c r="O37">
        <f t="shared" si="4"/>
        <v>1.4813159484190146</v>
      </c>
      <c r="P37">
        <f t="shared" si="5"/>
        <v>0</v>
      </c>
      <c r="R37" s="1" t="s">
        <v>11</v>
      </c>
      <c r="S37">
        <f t="shared" si="6"/>
        <v>-0.25383020604887918</v>
      </c>
      <c r="T37">
        <f t="shared" si="7"/>
        <v>1.0622391553757418</v>
      </c>
      <c r="U37">
        <f t="shared" si="7"/>
        <v>1.0344259290701898</v>
      </c>
      <c r="V37">
        <f t="shared" si="7"/>
        <v>1.0170673178655336</v>
      </c>
      <c r="W37">
        <f t="shared" si="7"/>
        <v>1.0259645077147104</v>
      </c>
      <c r="X37">
        <f t="shared" si="8"/>
        <v>0</v>
      </c>
    </row>
    <row r="38" spans="2:24" x14ac:dyDescent="0.35">
      <c r="B38" s="1" t="s">
        <v>12</v>
      </c>
      <c r="C38">
        <f t="shared" si="0"/>
        <v>-0.25960806586664509</v>
      </c>
      <c r="D38">
        <f t="shared" si="1"/>
        <v>1.1625867940035353</v>
      </c>
      <c r="E38">
        <f t="shared" si="1"/>
        <v>1.1458101238609055</v>
      </c>
      <c r="F38">
        <f t="shared" si="1"/>
        <v>1.0704252070373277</v>
      </c>
      <c r="G38">
        <f t="shared" si="1"/>
        <v>1.0762651435214357</v>
      </c>
      <c r="H38">
        <f t="shared" si="2"/>
        <v>0</v>
      </c>
      <c r="J38" s="9" t="s">
        <v>12</v>
      </c>
      <c r="K38">
        <f t="shared" si="3"/>
        <v>-0.3365390999094926</v>
      </c>
      <c r="L38">
        <f t="shared" si="4"/>
        <v>1.8488021699133994</v>
      </c>
      <c r="M38">
        <f t="shared" si="4"/>
        <v>2.2502563904843313</v>
      </c>
      <c r="N38">
        <f t="shared" si="4"/>
        <v>1.5000854610602461</v>
      </c>
      <c r="O38">
        <f t="shared" si="4"/>
        <v>1.5076508433135882</v>
      </c>
      <c r="P38">
        <f t="shared" si="5"/>
        <v>0</v>
      </c>
      <c r="R38" s="9" t="s">
        <v>12</v>
      </c>
      <c r="S38">
        <f t="shared" si="6"/>
        <v>-0.19607633019199719</v>
      </c>
      <c r="T38">
        <f t="shared" si="7"/>
        <v>1.0362874029532023</v>
      </c>
      <c r="U38">
        <f t="shared" si="7"/>
        <v>1.0391245389483139</v>
      </c>
      <c r="V38">
        <f t="shared" si="7"/>
        <v>1.0193745822553719</v>
      </c>
      <c r="W38">
        <f t="shared" si="7"/>
        <v>1.0248537099151582</v>
      </c>
      <c r="X38">
        <f t="shared" si="8"/>
        <v>0</v>
      </c>
    </row>
    <row r="39" spans="2:24" x14ac:dyDescent="0.35">
      <c r="B39" s="1"/>
      <c r="J39" s="5"/>
    </row>
    <row r="40" spans="2:24" x14ac:dyDescent="0.35">
      <c r="B40" s="1"/>
      <c r="J40" s="5"/>
    </row>
    <row r="41" spans="2:24" x14ac:dyDescent="0.35">
      <c r="B41" s="1"/>
      <c r="J41" s="5"/>
    </row>
  </sheetData>
  <conditionalFormatting sqref="C32:G38 AA23:AE30 S26:W29">
    <cfRule type="cellIs" dxfId="183" priority="16" operator="greaterThan">
      <formula>0</formula>
    </cfRule>
  </conditionalFormatting>
  <conditionalFormatting sqref="D32:G38">
    <cfRule type="cellIs" dxfId="182" priority="9" operator="lessThan">
      <formula>1</formula>
    </cfRule>
    <cfRule type="cellIs" dxfId="181" priority="10" operator="greaterThan">
      <formula>1</formula>
    </cfRule>
  </conditionalFormatting>
  <conditionalFormatting sqref="K32:O38 K39:K41">
    <cfRule type="cellIs" dxfId="180" priority="7" operator="lessThan">
      <formula>0</formula>
    </cfRule>
    <cfRule type="cellIs" dxfId="179" priority="8" operator="greaterThan">
      <formula>0</formula>
    </cfRule>
  </conditionalFormatting>
  <conditionalFormatting sqref="L32:O38">
    <cfRule type="cellIs" dxfId="178" priority="5" operator="lessThan">
      <formula>1</formula>
    </cfRule>
    <cfRule type="cellIs" dxfId="177" priority="6" operator="greaterThan">
      <formula>1</formula>
    </cfRule>
  </conditionalFormatting>
  <conditionalFormatting sqref="S32:W38">
    <cfRule type="cellIs" dxfId="176" priority="3" operator="lessThan">
      <formula>0</formula>
    </cfRule>
    <cfRule type="cellIs" dxfId="175" priority="4" operator="greaterThan">
      <formula>0</formula>
    </cfRule>
  </conditionalFormatting>
  <conditionalFormatting sqref="T32:W38">
    <cfRule type="cellIs" dxfId="174" priority="1" operator="lessThan">
      <formula>1</formula>
    </cfRule>
    <cfRule type="cellIs" dxfId="173" priority="2" operator="greaterThan">
      <formula>1</formula>
    </cfRule>
  </conditionalFormatting>
  <conditionalFormatting sqref="AA23:AE30 S26:W29 C32:G38">
    <cfRule type="cellIs" dxfId="172" priority="15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9F2D-E077-478C-8029-A099CB989E9A}">
  <dimension ref="B2:X37"/>
  <sheetViews>
    <sheetView zoomScale="70" workbookViewId="0">
      <selection activeCell="G46" sqref="G46"/>
    </sheetView>
  </sheetViews>
  <sheetFormatPr baseColWidth="10" defaultRowHeight="14.5" x14ac:dyDescent="0.35"/>
  <sheetData>
    <row r="2" spans="2:24" x14ac:dyDescent="0.35">
      <c r="B2" s="3" t="s">
        <v>14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J2" s="11" t="s">
        <v>28</v>
      </c>
      <c r="K2" s="1" t="s">
        <v>0</v>
      </c>
      <c r="L2" s="1" t="s">
        <v>1</v>
      </c>
      <c r="M2" s="1" t="s">
        <v>2</v>
      </c>
      <c r="N2" s="1" t="s">
        <v>3</v>
      </c>
      <c r="O2" s="1" t="s">
        <v>4</v>
      </c>
      <c r="P2" s="1" t="s">
        <v>5</v>
      </c>
      <c r="R2" s="11" t="s">
        <v>29</v>
      </c>
      <c r="S2" s="1" t="s">
        <v>0</v>
      </c>
      <c r="T2" s="1" t="s">
        <v>1</v>
      </c>
      <c r="U2" s="1" t="s">
        <v>2</v>
      </c>
      <c r="V2" s="1" t="s">
        <v>3</v>
      </c>
      <c r="W2" s="1" t="s">
        <v>4</v>
      </c>
      <c r="X2" s="1" t="s">
        <v>5</v>
      </c>
    </row>
    <row r="3" spans="2:24" x14ac:dyDescent="0.35">
      <c r="B3" s="1" t="s">
        <v>6</v>
      </c>
      <c r="C3">
        <v>-6.1477615021725808E-2</v>
      </c>
      <c r="D3">
        <v>0.51738196302336792</v>
      </c>
      <c r="E3">
        <v>0.47097915119540401</v>
      </c>
      <c r="F3">
        <v>0.686279207899674</v>
      </c>
      <c r="G3">
        <v>0.70455633729642919</v>
      </c>
      <c r="H3">
        <v>17</v>
      </c>
      <c r="J3" s="1" t="s">
        <v>6</v>
      </c>
      <c r="K3">
        <v>3.041816718429699E-2</v>
      </c>
      <c r="L3">
        <v>0.59695870633875181</v>
      </c>
      <c r="M3">
        <v>0.61358772546437457</v>
      </c>
      <c r="N3">
        <v>0.78331840618255266</v>
      </c>
      <c r="O3">
        <v>0.80681711952283086</v>
      </c>
      <c r="P3">
        <v>17</v>
      </c>
      <c r="R3" s="1" t="s">
        <v>6</v>
      </c>
      <c r="S3">
        <v>-0.13414395191117209</v>
      </c>
      <c r="T3">
        <v>0.59351027380086308</v>
      </c>
      <c r="U3">
        <v>0.69212453348446534</v>
      </c>
      <c r="V3">
        <v>0.83194022230233911</v>
      </c>
      <c r="W3">
        <v>0.84632325650619511</v>
      </c>
      <c r="X3">
        <v>17</v>
      </c>
    </row>
    <row r="4" spans="2:24" x14ac:dyDescent="0.35">
      <c r="B4" s="1" t="s">
        <v>7</v>
      </c>
      <c r="C4">
        <v>-0.18571264839848031</v>
      </c>
      <c r="D4">
        <v>0.49571161024822569</v>
      </c>
      <c r="E4">
        <v>0.39823559761537158</v>
      </c>
      <c r="F4">
        <v>0.63105910786183228</v>
      </c>
      <c r="G4">
        <v>0.62167560709360814</v>
      </c>
      <c r="H4">
        <v>17</v>
      </c>
      <c r="J4" s="1" t="s">
        <v>7</v>
      </c>
      <c r="K4">
        <v>-4.7890840976531242E-2</v>
      </c>
      <c r="L4">
        <v>0.58626776538736636</v>
      </c>
      <c r="M4">
        <v>0.47884423950899208</v>
      </c>
      <c r="N4">
        <v>0.69198572204128028</v>
      </c>
      <c r="O4">
        <v>0.71157229150542023</v>
      </c>
      <c r="P4">
        <v>17</v>
      </c>
      <c r="R4" s="1" t="s">
        <v>7</v>
      </c>
      <c r="S4">
        <v>-0.2124529600720004</v>
      </c>
      <c r="T4">
        <v>0.65363326047532189</v>
      </c>
      <c r="U4">
        <v>0.67023152046521484</v>
      </c>
      <c r="V4">
        <v>0.81867668860497966</v>
      </c>
      <c r="W4">
        <v>0.81496240035091572</v>
      </c>
      <c r="X4">
        <v>17</v>
      </c>
    </row>
    <row r="5" spans="2:24" x14ac:dyDescent="0.35">
      <c r="B5" s="1" t="s">
        <v>8</v>
      </c>
      <c r="C5">
        <v>-4.063159480600128E-2</v>
      </c>
      <c r="D5">
        <v>0.37979474627366122</v>
      </c>
      <c r="E5">
        <v>0.2191936021738414</v>
      </c>
      <c r="F5">
        <v>0.46818116383921449</v>
      </c>
      <c r="G5">
        <v>0.48076927200809888</v>
      </c>
      <c r="H5">
        <v>17</v>
      </c>
      <c r="J5" s="1" t="s">
        <v>8</v>
      </c>
      <c r="K5">
        <v>0.1177926702203448</v>
      </c>
      <c r="L5">
        <v>0.48655370411771348</v>
      </c>
      <c r="M5">
        <v>0.40349011519173711</v>
      </c>
      <c r="N5">
        <v>0.63520871781780286</v>
      </c>
      <c r="O5">
        <v>0.64340184928334587</v>
      </c>
      <c r="P5">
        <v>17</v>
      </c>
      <c r="R5" s="1" t="s">
        <v>8</v>
      </c>
      <c r="S5">
        <v>-4.676944887512436E-2</v>
      </c>
      <c r="T5">
        <v>0.46521408353554372</v>
      </c>
      <c r="U5">
        <v>0.32149842233734582</v>
      </c>
      <c r="V5">
        <v>0.56700830887857878</v>
      </c>
      <c r="W5">
        <v>0.58246715019054229</v>
      </c>
      <c r="X5">
        <v>17</v>
      </c>
    </row>
    <row r="6" spans="2:24" x14ac:dyDescent="0.35">
      <c r="B6" s="1" t="s">
        <v>9</v>
      </c>
      <c r="C6">
        <v>-0.1001656860426188</v>
      </c>
      <c r="D6">
        <v>0.53491780525984611</v>
      </c>
      <c r="E6">
        <v>0.46903453602091</v>
      </c>
      <c r="F6">
        <v>0.68486096108692751</v>
      </c>
      <c r="G6">
        <v>0.69834730404760226</v>
      </c>
      <c r="H6">
        <v>17</v>
      </c>
      <c r="J6" s="1" t="s">
        <v>9</v>
      </c>
      <c r="K6">
        <v>6.7393030203489204E-2</v>
      </c>
      <c r="L6">
        <v>0.71380650104235133</v>
      </c>
      <c r="M6">
        <v>0.7470935248604208</v>
      </c>
      <c r="N6">
        <v>0.86434572068149951</v>
      </c>
      <c r="O6">
        <v>0.88823487088814979</v>
      </c>
      <c r="P6">
        <v>17</v>
      </c>
      <c r="R6" s="1" t="s">
        <v>9</v>
      </c>
      <c r="S6">
        <v>-9.7169088891979963E-2</v>
      </c>
      <c r="T6">
        <v>0.66070979355111059</v>
      </c>
      <c r="U6">
        <v>0.7106863686113114</v>
      </c>
      <c r="V6">
        <v>0.84302216377228856</v>
      </c>
      <c r="W6">
        <v>0.86317571810359961</v>
      </c>
      <c r="X6">
        <v>17</v>
      </c>
    </row>
    <row r="7" spans="2:24" x14ac:dyDescent="0.35">
      <c r="B7" s="1" t="s">
        <v>10</v>
      </c>
      <c r="C7">
        <v>-0.1185860506577367</v>
      </c>
      <c r="D7">
        <v>0.31677965428716542</v>
      </c>
      <c r="E7">
        <v>0.14965632443782889</v>
      </c>
      <c r="F7">
        <v>0.38685439694777779</v>
      </c>
      <c r="G7">
        <v>0.37956327218453501</v>
      </c>
      <c r="H7">
        <v>17</v>
      </c>
      <c r="J7" s="1" t="s">
        <v>10</v>
      </c>
      <c r="K7">
        <v>5.3039912850262938E-2</v>
      </c>
      <c r="L7">
        <v>0.39399880761690781</v>
      </c>
      <c r="M7">
        <v>0.2884509084384082</v>
      </c>
      <c r="N7">
        <v>0.53707625942542669</v>
      </c>
      <c r="O7">
        <v>0.55089929282805172</v>
      </c>
      <c r="P7">
        <v>17</v>
      </c>
      <c r="R7" s="1" t="s">
        <v>10</v>
      </c>
      <c r="S7">
        <v>-0.1115222062452062</v>
      </c>
      <c r="T7">
        <v>0.34823132905002879</v>
      </c>
      <c r="U7">
        <v>0.19484602068608281</v>
      </c>
      <c r="V7">
        <v>0.44141366164413492</v>
      </c>
      <c r="W7">
        <v>0.44023785541205129</v>
      </c>
      <c r="X7">
        <v>17</v>
      </c>
    </row>
    <row r="8" spans="2:24" x14ac:dyDescent="0.35">
      <c r="B8" s="1" t="s">
        <v>11</v>
      </c>
      <c r="C8">
        <v>-4.2548674701191301E-3</v>
      </c>
      <c r="D8">
        <v>0.34434639089305652</v>
      </c>
      <c r="E8">
        <v>0.19505960095473199</v>
      </c>
      <c r="F8">
        <v>0.44165552295282351</v>
      </c>
      <c r="G8">
        <v>0.46842468358289652</v>
      </c>
      <c r="H8">
        <v>9</v>
      </c>
      <c r="J8" s="1" t="s">
        <v>11</v>
      </c>
      <c r="K8">
        <v>0.2555986832542369</v>
      </c>
      <c r="L8">
        <v>0.49695966070803332</v>
      </c>
      <c r="M8">
        <v>0.45094681043053808</v>
      </c>
      <c r="N8">
        <v>0.67152573326011722</v>
      </c>
      <c r="O8">
        <v>0.65864872200050095</v>
      </c>
      <c r="P8">
        <v>9</v>
      </c>
      <c r="R8" s="1" t="s">
        <v>11</v>
      </c>
      <c r="S8">
        <v>-2.9261165085216648E-2</v>
      </c>
      <c r="T8">
        <v>0.42376012408535513</v>
      </c>
      <c r="U8">
        <v>0.29247177211267461</v>
      </c>
      <c r="V8">
        <v>0.54080659399888475</v>
      </c>
      <c r="W8">
        <v>0.57277177031680482</v>
      </c>
      <c r="X8">
        <v>9</v>
      </c>
    </row>
    <row r="9" spans="2:24" x14ac:dyDescent="0.35">
      <c r="B9" s="1" t="s">
        <v>12</v>
      </c>
      <c r="C9">
        <v>-6.2879407684847621E-2</v>
      </c>
      <c r="D9">
        <v>0.28663860440412292</v>
      </c>
      <c r="E9">
        <v>0.13960322091289831</v>
      </c>
      <c r="F9">
        <v>0.37363514410839133</v>
      </c>
      <c r="G9">
        <v>0.39064763678712261</v>
      </c>
      <c r="H9">
        <v>9</v>
      </c>
      <c r="J9" s="1" t="s">
        <v>12</v>
      </c>
      <c r="K9">
        <v>0.19812590261067639</v>
      </c>
      <c r="L9">
        <v>0.47317677740082842</v>
      </c>
      <c r="M9">
        <v>0.46779850651001342</v>
      </c>
      <c r="N9">
        <v>0.68395797130380265</v>
      </c>
      <c r="O9">
        <v>0.69434336777836936</v>
      </c>
      <c r="P9">
        <v>9</v>
      </c>
      <c r="R9" s="1" t="s">
        <v>12</v>
      </c>
      <c r="S9">
        <v>-8.6733945728777101E-2</v>
      </c>
      <c r="T9">
        <v>0.34087624262653898</v>
      </c>
      <c r="U9">
        <v>0.1524713185586605</v>
      </c>
      <c r="V9">
        <v>0.39047575924589789</v>
      </c>
      <c r="W9">
        <v>0.4038156867546136</v>
      </c>
      <c r="X9">
        <v>9</v>
      </c>
    </row>
    <row r="10" spans="2:24" x14ac:dyDescent="0.35">
      <c r="B10" s="1"/>
      <c r="C10">
        <v>0.73649746518637327</v>
      </c>
      <c r="D10">
        <v>0.73649746518637327</v>
      </c>
      <c r="E10">
        <v>0.54242851622595312</v>
      </c>
      <c r="F10">
        <v>0.73649746518637327</v>
      </c>
      <c r="H10">
        <v>1</v>
      </c>
      <c r="K10">
        <v>0.94096826070626494</v>
      </c>
      <c r="L10">
        <v>0.94096826070626494</v>
      </c>
      <c r="M10">
        <v>0.88542126765657336</v>
      </c>
      <c r="N10">
        <v>0.94096826070626494</v>
      </c>
      <c r="P10">
        <v>1</v>
      </c>
      <c r="S10">
        <v>0.88098284135634286</v>
      </c>
      <c r="T10">
        <v>0.88098284135634286</v>
      </c>
      <c r="U10">
        <v>0.77613076676429515</v>
      </c>
      <c r="V10">
        <v>0.88098284135634286</v>
      </c>
      <c r="X10">
        <v>1</v>
      </c>
    </row>
    <row r="11" spans="2:24" x14ac:dyDescent="0.35">
      <c r="B11" s="1"/>
    </row>
    <row r="12" spans="2:24" x14ac:dyDescent="0.35">
      <c r="B12" s="1"/>
    </row>
    <row r="14" spans="2:24" x14ac:dyDescent="0.35">
      <c r="B14" s="4" t="s">
        <v>13</v>
      </c>
      <c r="C14" s="1" t="s">
        <v>0</v>
      </c>
      <c r="D14" s="1" t="s">
        <v>1</v>
      </c>
      <c r="E14" s="1" t="s">
        <v>2</v>
      </c>
      <c r="F14" s="1" t="s">
        <v>3</v>
      </c>
      <c r="G14" s="1" t="s">
        <v>4</v>
      </c>
      <c r="H14" s="1" t="s">
        <v>5</v>
      </c>
      <c r="J14" s="4" t="s">
        <v>13</v>
      </c>
      <c r="K14" s="1" t="s">
        <v>0</v>
      </c>
      <c r="L14" s="1" t="s">
        <v>1</v>
      </c>
      <c r="M14" s="1" t="s">
        <v>2</v>
      </c>
      <c r="N14" s="1" t="s">
        <v>3</v>
      </c>
      <c r="O14" s="1" t="s">
        <v>4</v>
      </c>
      <c r="P14" s="1" t="s">
        <v>5</v>
      </c>
      <c r="R14" s="4" t="s">
        <v>13</v>
      </c>
      <c r="S14" s="1" t="s">
        <v>0</v>
      </c>
      <c r="T14" s="1" t="s">
        <v>1</v>
      </c>
      <c r="U14" s="1" t="s">
        <v>2</v>
      </c>
      <c r="V14" s="1" t="s">
        <v>3</v>
      </c>
      <c r="W14" s="1" t="s">
        <v>4</v>
      </c>
      <c r="X14" s="1" t="s">
        <v>5</v>
      </c>
    </row>
    <row r="15" spans="2:24" x14ac:dyDescent="0.35">
      <c r="B15" s="1" t="s">
        <v>6</v>
      </c>
      <c r="C15">
        <v>-2.412219631125187E-2</v>
      </c>
      <c r="D15">
        <v>0.28457833243083441</v>
      </c>
      <c r="E15">
        <v>0.20747189344357819</v>
      </c>
      <c r="F15">
        <v>0.45549082695876342</v>
      </c>
      <c r="G15">
        <v>0.46885033742842003</v>
      </c>
      <c r="H15">
        <v>17</v>
      </c>
      <c r="J15" s="1" t="s">
        <v>6</v>
      </c>
      <c r="K15">
        <v>-2.412219631125187E-2</v>
      </c>
      <c r="L15">
        <v>0.28457833243083441</v>
      </c>
      <c r="M15">
        <v>0.20747189344357819</v>
      </c>
      <c r="N15">
        <v>0.45549082695876342</v>
      </c>
      <c r="O15">
        <v>0.46885033742842003</v>
      </c>
      <c r="P15">
        <v>17</v>
      </c>
      <c r="R15" s="1" t="s">
        <v>6</v>
      </c>
      <c r="S15">
        <v>-2.412219631125187E-2</v>
      </c>
      <c r="T15">
        <v>0.28457833243083441</v>
      </c>
      <c r="U15">
        <v>0.20747189344357819</v>
      </c>
      <c r="V15">
        <v>0.45549082695876342</v>
      </c>
      <c r="W15">
        <v>0.46885033742842003</v>
      </c>
      <c r="X15">
        <v>17</v>
      </c>
    </row>
    <row r="16" spans="2:24" x14ac:dyDescent="0.35">
      <c r="B16" s="1" t="s">
        <v>7</v>
      </c>
      <c r="C16">
        <v>-0.13572532211913629</v>
      </c>
      <c r="D16">
        <v>0.43360694970527908</v>
      </c>
      <c r="E16">
        <v>0.35372948399422482</v>
      </c>
      <c r="F16">
        <v>0.59475161537756649</v>
      </c>
      <c r="G16">
        <v>0.59687928301122928</v>
      </c>
      <c r="H16">
        <v>17</v>
      </c>
      <c r="J16" s="1" t="s">
        <v>7</v>
      </c>
      <c r="K16">
        <v>-0.13572532211913629</v>
      </c>
      <c r="L16">
        <v>0.43360694970527908</v>
      </c>
      <c r="M16">
        <v>0.35372948399422482</v>
      </c>
      <c r="N16">
        <v>0.59475161537756649</v>
      </c>
      <c r="O16">
        <v>0.59687928301122928</v>
      </c>
      <c r="P16">
        <v>17</v>
      </c>
      <c r="R16" s="1" t="s">
        <v>7</v>
      </c>
      <c r="S16">
        <v>-0.13572532211913629</v>
      </c>
      <c r="T16">
        <v>0.43360694970527908</v>
      </c>
      <c r="U16">
        <v>0.35372948399422482</v>
      </c>
      <c r="V16">
        <v>0.59475161537756649</v>
      </c>
      <c r="W16">
        <v>0.59687928301122928</v>
      </c>
      <c r="X16">
        <v>17</v>
      </c>
    </row>
    <row r="17" spans="2:24" x14ac:dyDescent="0.35">
      <c r="B17" s="1" t="s">
        <v>8</v>
      </c>
      <c r="C17">
        <v>4.4311130254209033E-2</v>
      </c>
      <c r="D17">
        <v>0.38323684130817381</v>
      </c>
      <c r="E17">
        <v>0.23718759388973509</v>
      </c>
      <c r="F17">
        <v>0.48701908986171699</v>
      </c>
      <c r="G17">
        <v>0.49992561944444569</v>
      </c>
      <c r="H17">
        <v>17</v>
      </c>
      <c r="J17" s="1" t="s">
        <v>8</v>
      </c>
      <c r="K17">
        <v>4.4311130254209033E-2</v>
      </c>
      <c r="L17">
        <v>0.38323684130817381</v>
      </c>
      <c r="M17">
        <v>0.23718759388973509</v>
      </c>
      <c r="N17">
        <v>0.48701908986171699</v>
      </c>
      <c r="O17">
        <v>0.49992561944444569</v>
      </c>
      <c r="P17">
        <v>17</v>
      </c>
      <c r="R17" s="1" t="s">
        <v>8</v>
      </c>
      <c r="S17">
        <v>4.4311130254209033E-2</v>
      </c>
      <c r="T17">
        <v>0.38323684130817381</v>
      </c>
      <c r="U17">
        <v>0.23718759388973509</v>
      </c>
      <c r="V17">
        <v>0.48701908986171699</v>
      </c>
      <c r="W17">
        <v>0.49992561944444569</v>
      </c>
      <c r="X17">
        <v>17</v>
      </c>
    </row>
    <row r="18" spans="2:24" x14ac:dyDescent="0.35">
      <c r="B18" s="1" t="s">
        <v>9</v>
      </c>
      <c r="C18">
        <v>2.397031376676494E-2</v>
      </c>
      <c r="D18">
        <v>0.50836800770383905</v>
      </c>
      <c r="E18">
        <v>0.45560416098959322</v>
      </c>
      <c r="F18">
        <v>0.67498456351948766</v>
      </c>
      <c r="G18">
        <v>0.69531930371088202</v>
      </c>
      <c r="H18">
        <v>17</v>
      </c>
      <c r="J18" s="1" t="s">
        <v>9</v>
      </c>
      <c r="K18">
        <v>2.397031376676494E-2</v>
      </c>
      <c r="L18">
        <v>0.50836800770383905</v>
      </c>
      <c r="M18">
        <v>0.45560416098959322</v>
      </c>
      <c r="N18">
        <v>0.67498456351948766</v>
      </c>
      <c r="O18">
        <v>0.69531930371088202</v>
      </c>
      <c r="P18">
        <v>17</v>
      </c>
      <c r="R18" s="1" t="s">
        <v>9</v>
      </c>
      <c r="S18">
        <v>2.397031376676494E-2</v>
      </c>
      <c r="T18">
        <v>0.50836800770383905</v>
      </c>
      <c r="U18">
        <v>0.45560416098959322</v>
      </c>
      <c r="V18">
        <v>0.67498456351948766</v>
      </c>
      <c r="W18">
        <v>0.69531930371088202</v>
      </c>
      <c r="X18">
        <v>17</v>
      </c>
    </row>
    <row r="19" spans="2:24" x14ac:dyDescent="0.35">
      <c r="B19" s="1" t="s">
        <v>10</v>
      </c>
      <c r="C19">
        <v>2.5793667001774639E-2</v>
      </c>
      <c r="D19">
        <v>0.29324470227240468</v>
      </c>
      <c r="E19">
        <v>0.14199668722441219</v>
      </c>
      <c r="F19">
        <v>0.37682447800589097</v>
      </c>
      <c r="G19">
        <v>0.38751075448295902</v>
      </c>
      <c r="H19">
        <v>17</v>
      </c>
      <c r="J19" s="1" t="s">
        <v>10</v>
      </c>
      <c r="K19">
        <v>2.5793667001774639E-2</v>
      </c>
      <c r="L19">
        <v>0.29324470227240468</v>
      </c>
      <c r="M19">
        <v>0.14199668722441219</v>
      </c>
      <c r="N19">
        <v>0.37682447800589097</v>
      </c>
      <c r="O19">
        <v>0.38751075448295902</v>
      </c>
      <c r="P19">
        <v>17</v>
      </c>
      <c r="R19" s="1" t="s">
        <v>10</v>
      </c>
      <c r="S19">
        <v>2.5793667001774639E-2</v>
      </c>
      <c r="T19">
        <v>0.29324470227240468</v>
      </c>
      <c r="U19">
        <v>0.14199668722441219</v>
      </c>
      <c r="V19">
        <v>0.37682447800589097</v>
      </c>
      <c r="W19">
        <v>0.38751075448295902</v>
      </c>
      <c r="X19">
        <v>17</v>
      </c>
    </row>
    <row r="20" spans="2:24" x14ac:dyDescent="0.35">
      <c r="B20" s="1" t="s">
        <v>11</v>
      </c>
      <c r="C20">
        <v>0.1553347935582606</v>
      </c>
      <c r="D20">
        <v>0.28682588528847103</v>
      </c>
      <c r="E20">
        <v>0.1905512758092372</v>
      </c>
      <c r="F20">
        <v>0.43652179305189021</v>
      </c>
      <c r="G20">
        <v>0.43269524487146949</v>
      </c>
      <c r="H20">
        <v>9</v>
      </c>
      <c r="J20" s="1" t="s">
        <v>11</v>
      </c>
      <c r="K20">
        <v>0.1553347935582606</v>
      </c>
      <c r="L20">
        <v>0.28682588528847103</v>
      </c>
      <c r="M20">
        <v>0.1905512758092372</v>
      </c>
      <c r="N20">
        <v>0.43652179305189021</v>
      </c>
      <c r="O20">
        <v>0.43269524487146949</v>
      </c>
      <c r="P20">
        <v>9</v>
      </c>
      <c r="R20" s="1" t="s">
        <v>11</v>
      </c>
      <c r="S20">
        <v>0.1553347935582606</v>
      </c>
      <c r="T20">
        <v>0.28682588528847103</v>
      </c>
      <c r="U20">
        <v>0.1905512758092372</v>
      </c>
      <c r="V20">
        <v>0.43652179305189021</v>
      </c>
      <c r="W20">
        <v>0.43269524487146949</v>
      </c>
      <c r="X20">
        <v>9</v>
      </c>
    </row>
    <row r="21" spans="2:24" x14ac:dyDescent="0.35">
      <c r="B21" s="1" t="s">
        <v>12</v>
      </c>
      <c r="C21">
        <v>0.10341756847025529</v>
      </c>
      <c r="D21">
        <v>0.294223396463412</v>
      </c>
      <c r="E21">
        <v>0.1636263561995889</v>
      </c>
      <c r="F21">
        <v>0.40450754776590858</v>
      </c>
      <c r="G21">
        <v>0.41478615945171082</v>
      </c>
      <c r="H21">
        <v>9</v>
      </c>
      <c r="J21" s="1" t="s">
        <v>12</v>
      </c>
      <c r="K21">
        <v>0.10341756847025529</v>
      </c>
      <c r="L21">
        <v>0.294223396463412</v>
      </c>
      <c r="M21">
        <v>0.1636263561995889</v>
      </c>
      <c r="N21">
        <v>0.40450754776590858</v>
      </c>
      <c r="O21">
        <v>0.41478615945171082</v>
      </c>
      <c r="P21">
        <v>9</v>
      </c>
      <c r="R21" s="1" t="s">
        <v>12</v>
      </c>
      <c r="S21">
        <v>0.10341756847025529</v>
      </c>
      <c r="T21">
        <v>0.294223396463412</v>
      </c>
      <c r="U21">
        <v>0.1636263561995889</v>
      </c>
      <c r="V21">
        <v>0.40450754776590858</v>
      </c>
      <c r="W21">
        <v>0.41478615945171082</v>
      </c>
      <c r="X21">
        <v>9</v>
      </c>
    </row>
    <row r="22" spans="2:24" x14ac:dyDescent="0.35">
      <c r="B22" s="1"/>
      <c r="C22">
        <v>0.83400133600533788</v>
      </c>
      <c r="D22">
        <v>0.83400133600533788</v>
      </c>
      <c r="E22">
        <v>0.69555822845868853</v>
      </c>
      <c r="F22">
        <v>0.83400133600533788</v>
      </c>
      <c r="H22">
        <v>1</v>
      </c>
      <c r="J22" s="1"/>
      <c r="K22">
        <v>0.83400133600533788</v>
      </c>
      <c r="L22">
        <v>0.83400133600533788</v>
      </c>
      <c r="M22">
        <v>0.69555822845868853</v>
      </c>
      <c r="N22">
        <v>0.83400133600533788</v>
      </c>
      <c r="P22">
        <v>1</v>
      </c>
      <c r="R22" s="1"/>
      <c r="S22">
        <v>0.83400133600533788</v>
      </c>
      <c r="T22">
        <v>0.83400133600533788</v>
      </c>
      <c r="U22">
        <v>0.69555822845868853</v>
      </c>
      <c r="V22">
        <v>0.83400133600533788</v>
      </c>
      <c r="X22">
        <v>1</v>
      </c>
    </row>
    <row r="23" spans="2:24" x14ac:dyDescent="0.35">
      <c r="B23" s="1"/>
      <c r="J23" s="1"/>
      <c r="R23" s="1"/>
    </row>
    <row r="24" spans="2:24" x14ac:dyDescent="0.35">
      <c r="B24" s="1"/>
      <c r="J24" s="1"/>
      <c r="R24" s="1"/>
    </row>
    <row r="25" spans="2:24" x14ac:dyDescent="0.35">
      <c r="R25" s="5"/>
    </row>
    <row r="26" spans="2:24" x14ac:dyDescent="0.35">
      <c r="R26" s="5"/>
    </row>
    <row r="27" spans="2:24" x14ac:dyDescent="0.35">
      <c r="R27" s="5"/>
    </row>
    <row r="28" spans="2:24" x14ac:dyDescent="0.35">
      <c r="D28" t="s">
        <v>15</v>
      </c>
      <c r="R28" s="5"/>
    </row>
    <row r="29" spans="2:24" x14ac:dyDescent="0.35">
      <c r="B29" s="2" t="s">
        <v>27</v>
      </c>
      <c r="D29" t="s">
        <v>20</v>
      </c>
      <c r="J29" s="2" t="s">
        <v>30</v>
      </c>
      <c r="L29" t="s">
        <v>20</v>
      </c>
      <c r="R29" s="2" t="s">
        <v>31</v>
      </c>
      <c r="T29" t="s">
        <v>20</v>
      </c>
    </row>
    <row r="30" spans="2:24" x14ac:dyDescent="0.35">
      <c r="C30" s="1" t="s">
        <v>0</v>
      </c>
      <c r="D30" s="1" t="s">
        <v>1</v>
      </c>
      <c r="E30" s="1" t="s">
        <v>2</v>
      </c>
      <c r="F30" s="1" t="s">
        <v>3</v>
      </c>
      <c r="G30" s="1" t="s">
        <v>4</v>
      </c>
      <c r="H30" s="1" t="s">
        <v>5</v>
      </c>
      <c r="K30" s="1" t="s">
        <v>0</v>
      </c>
      <c r="L30" s="1" t="s">
        <v>1</v>
      </c>
      <c r="M30" s="1" t="s">
        <v>2</v>
      </c>
      <c r="N30" s="1" t="s">
        <v>3</v>
      </c>
      <c r="O30" s="1" t="s">
        <v>4</v>
      </c>
      <c r="P30" s="1" t="s">
        <v>5</v>
      </c>
      <c r="S30" s="1" t="s">
        <v>0</v>
      </c>
      <c r="T30" s="1" t="s">
        <v>1</v>
      </c>
      <c r="U30" s="1" t="s">
        <v>2</v>
      </c>
      <c r="V30" s="1" t="s">
        <v>3</v>
      </c>
      <c r="W30" s="1" t="s">
        <v>4</v>
      </c>
      <c r="X30" s="1" t="s">
        <v>5</v>
      </c>
    </row>
    <row r="31" spans="2:24" x14ac:dyDescent="0.35">
      <c r="B31" s="1" t="s">
        <v>6</v>
      </c>
      <c r="C31">
        <f t="shared" ref="C31:C37" si="0">C3-C15</f>
        <v>-3.7355418710473938E-2</v>
      </c>
      <c r="D31">
        <f t="shared" ref="D31:G37" si="1">D3/D15</f>
        <v>1.8180652005511189</v>
      </c>
      <c r="E31">
        <f t="shared" si="1"/>
        <v>2.2700865325812742</v>
      </c>
      <c r="F31">
        <f>F3/F15</f>
        <v>1.5066806339039718</v>
      </c>
      <c r="G31">
        <f t="shared" si="1"/>
        <v>1.5027318550325128</v>
      </c>
      <c r="H31">
        <f t="shared" ref="H31:H37" si="2">H3-H15</f>
        <v>0</v>
      </c>
      <c r="J31" s="1" t="s">
        <v>6</v>
      </c>
      <c r="K31">
        <f t="shared" ref="K31:K37" si="3">K3-K15</f>
        <v>5.454036349554886E-2</v>
      </c>
      <c r="L31">
        <f t="shared" ref="L31:O37" si="4">L3/L15</f>
        <v>2.0976955667692661</v>
      </c>
      <c r="M31">
        <f t="shared" si="4"/>
        <v>2.9574498756441883</v>
      </c>
      <c r="N31">
        <f t="shared" si="4"/>
        <v>1.7197237788796749</v>
      </c>
      <c r="O31">
        <f t="shared" si="4"/>
        <v>1.7208415033848805</v>
      </c>
      <c r="P31">
        <f t="shared" ref="P31:P37" si="5">P3-P15</f>
        <v>0</v>
      </c>
      <c r="R31" s="1" t="s">
        <v>6</v>
      </c>
      <c r="S31">
        <f t="shared" ref="S31:S37" si="6">S3-S15</f>
        <v>-0.11002175559992022</v>
      </c>
      <c r="T31">
        <f t="shared" ref="T31:W37" si="7">T3/T15</f>
        <v>2.0855778749252223</v>
      </c>
      <c r="U31">
        <f t="shared" si="7"/>
        <v>3.3359917914504793</v>
      </c>
      <c r="V31">
        <f t="shared" si="7"/>
        <v>1.8264697619863517</v>
      </c>
      <c r="W31">
        <f t="shared" si="7"/>
        <v>1.8051032257930375</v>
      </c>
      <c r="X31">
        <f t="shared" ref="X31:X37" si="8">X3-X15</f>
        <v>0</v>
      </c>
    </row>
    <row r="32" spans="2:24" x14ac:dyDescent="0.35">
      <c r="B32" s="1" t="s">
        <v>7</v>
      </c>
      <c r="C32">
        <f t="shared" si="0"/>
        <v>-4.9987326279344019E-2</v>
      </c>
      <c r="D32">
        <f t="shared" si="1"/>
        <v>1.143228010033416</v>
      </c>
      <c r="E32">
        <f t="shared" si="1"/>
        <v>1.1258196323320151</v>
      </c>
      <c r="F32">
        <f t="shared" si="1"/>
        <v>1.061046479816985</v>
      </c>
      <c r="G32">
        <f t="shared" si="1"/>
        <v>1.0415432815112673</v>
      </c>
      <c r="H32">
        <f t="shared" si="2"/>
        <v>0</v>
      </c>
      <c r="J32" s="1" t="s">
        <v>7</v>
      </c>
      <c r="K32">
        <f t="shared" si="3"/>
        <v>8.7834481142605059E-2</v>
      </c>
      <c r="L32">
        <f t="shared" si="4"/>
        <v>1.3520718839627692</v>
      </c>
      <c r="M32">
        <f t="shared" si="4"/>
        <v>1.3537018008846837</v>
      </c>
      <c r="N32">
        <f t="shared" si="4"/>
        <v>1.1634869147887672</v>
      </c>
      <c r="O32">
        <f t="shared" si="4"/>
        <v>1.1921544469018424</v>
      </c>
      <c r="P32">
        <f t="shared" si="5"/>
        <v>0</v>
      </c>
      <c r="R32" s="1" t="s">
        <v>7</v>
      </c>
      <c r="S32">
        <f t="shared" si="6"/>
        <v>-7.6727637952864108E-2</v>
      </c>
      <c r="T32">
        <f t="shared" si="7"/>
        <v>1.5074326205324748</v>
      </c>
      <c r="U32">
        <f t="shared" si="7"/>
        <v>1.89475729559529</v>
      </c>
      <c r="V32">
        <f t="shared" si="7"/>
        <v>1.3765018327613263</v>
      </c>
      <c r="W32">
        <f t="shared" si="7"/>
        <v>1.3653722344650108</v>
      </c>
      <c r="X32">
        <f t="shared" si="8"/>
        <v>0</v>
      </c>
    </row>
    <row r="33" spans="2:24" x14ac:dyDescent="0.35">
      <c r="B33" s="1" t="s">
        <v>8</v>
      </c>
      <c r="C33">
        <f t="shared" si="0"/>
        <v>-8.4942725060210306E-2</v>
      </c>
      <c r="D33">
        <f t="shared" si="1"/>
        <v>0.99101836080591044</v>
      </c>
      <c r="E33">
        <f t="shared" si="1"/>
        <v>0.92413603333630168</v>
      </c>
      <c r="F33">
        <f t="shared" si="1"/>
        <v>0.96131994327398684</v>
      </c>
      <c r="G33">
        <f t="shared" si="1"/>
        <v>0.96168160484026655</v>
      </c>
      <c r="H33">
        <f t="shared" si="2"/>
        <v>0</v>
      </c>
      <c r="J33" s="1" t="s">
        <v>8</v>
      </c>
      <c r="K33">
        <f t="shared" si="3"/>
        <v>7.3481539966135767E-2</v>
      </c>
      <c r="L33">
        <f t="shared" si="4"/>
        <v>1.2695901115792232</v>
      </c>
      <c r="M33">
        <f t="shared" si="4"/>
        <v>1.7011434222791328</v>
      </c>
      <c r="N33">
        <f t="shared" si="4"/>
        <v>1.3042788897621291</v>
      </c>
      <c r="O33">
        <f t="shared" si="4"/>
        <v>1.2869951533957023</v>
      </c>
      <c r="P33">
        <f t="shared" si="5"/>
        <v>0</v>
      </c>
      <c r="R33" s="1" t="s">
        <v>8</v>
      </c>
      <c r="S33">
        <f t="shared" si="6"/>
        <v>-9.10805791293334E-2</v>
      </c>
      <c r="T33">
        <f t="shared" si="7"/>
        <v>1.2139075198186629</v>
      </c>
      <c r="U33">
        <f t="shared" si="7"/>
        <v>1.3554605325892617</v>
      </c>
      <c r="V33">
        <f t="shared" si="7"/>
        <v>1.1642424715622004</v>
      </c>
      <c r="W33">
        <f t="shared" si="7"/>
        <v>1.1651076230856559</v>
      </c>
      <c r="X33">
        <f t="shared" si="8"/>
        <v>0</v>
      </c>
    </row>
    <row r="34" spans="2:24" x14ac:dyDescent="0.35">
      <c r="B34" s="1" t="s">
        <v>9</v>
      </c>
      <c r="C34">
        <f t="shared" si="0"/>
        <v>-0.12413599980938374</v>
      </c>
      <c r="D34">
        <f t="shared" si="1"/>
        <v>1.0522255475436493</v>
      </c>
      <c r="E34">
        <f t="shared" si="1"/>
        <v>1.0294781658757142</v>
      </c>
      <c r="F34">
        <f t="shared" si="1"/>
        <v>1.0146320347178646</v>
      </c>
      <c r="G34">
        <f t="shared" si="1"/>
        <v>1.0043548342762239</v>
      </c>
      <c r="H34">
        <f t="shared" si="2"/>
        <v>0</v>
      </c>
      <c r="J34" s="1" t="s">
        <v>9</v>
      </c>
      <c r="K34">
        <f t="shared" si="3"/>
        <v>4.3422716436724268E-2</v>
      </c>
      <c r="L34">
        <f t="shared" si="4"/>
        <v>1.4041137330148339</v>
      </c>
      <c r="M34">
        <f t="shared" si="4"/>
        <v>1.6397864392583668</v>
      </c>
      <c r="N34">
        <f t="shared" si="4"/>
        <v>1.2805414633108787</v>
      </c>
      <c r="O34">
        <f t="shared" si="4"/>
        <v>1.2774488873639602</v>
      </c>
      <c r="P34">
        <f t="shared" si="5"/>
        <v>0</v>
      </c>
      <c r="R34" s="1" t="s">
        <v>9</v>
      </c>
      <c r="S34">
        <f t="shared" si="6"/>
        <v>-0.1211394026587449</v>
      </c>
      <c r="T34">
        <f t="shared" si="7"/>
        <v>1.2996683181055357</v>
      </c>
      <c r="U34">
        <f t="shared" si="7"/>
        <v>1.5598768173400082</v>
      </c>
      <c r="V34">
        <f t="shared" si="7"/>
        <v>1.2489502861763586</v>
      </c>
      <c r="W34">
        <f t="shared" si="7"/>
        <v>1.2414091101697837</v>
      </c>
      <c r="X34">
        <f t="shared" si="8"/>
        <v>0</v>
      </c>
    </row>
    <row r="35" spans="2:24" x14ac:dyDescent="0.35">
      <c r="B35" s="1" t="s">
        <v>10</v>
      </c>
      <c r="C35">
        <f t="shared" si="0"/>
        <v>-0.14437971765951133</v>
      </c>
      <c r="D35">
        <f t="shared" si="1"/>
        <v>1.0802570407321404</v>
      </c>
      <c r="E35">
        <f t="shared" si="1"/>
        <v>1.0539423655800602</v>
      </c>
      <c r="F35">
        <f t="shared" si="1"/>
        <v>1.0266169517303225</v>
      </c>
      <c r="G35">
        <f t="shared" si="1"/>
        <v>0.97949093746048921</v>
      </c>
      <c r="H35">
        <f t="shared" si="2"/>
        <v>0</v>
      </c>
      <c r="J35" s="1" t="s">
        <v>10</v>
      </c>
      <c r="K35">
        <f t="shared" si="3"/>
        <v>2.7246245848488299E-2</v>
      </c>
      <c r="L35">
        <f t="shared" si="4"/>
        <v>1.3435837188659909</v>
      </c>
      <c r="M35">
        <f t="shared" si="4"/>
        <v>2.0313918167861136</v>
      </c>
      <c r="N35">
        <f t="shared" si="4"/>
        <v>1.4252690331253652</v>
      </c>
      <c r="O35">
        <f t="shared" si="4"/>
        <v>1.4216361390101182</v>
      </c>
      <c r="P35">
        <f t="shared" si="5"/>
        <v>0</v>
      </c>
      <c r="R35" s="1" t="s">
        <v>10</v>
      </c>
      <c r="S35">
        <f t="shared" si="6"/>
        <v>-0.13731587324698083</v>
      </c>
      <c r="T35">
        <f t="shared" si="7"/>
        <v>1.1875110661898514</v>
      </c>
      <c r="U35">
        <f t="shared" si="7"/>
        <v>1.3721870875631577</v>
      </c>
      <c r="V35">
        <f t="shared" si="7"/>
        <v>1.1714038959996496</v>
      </c>
      <c r="W35">
        <f t="shared" si="7"/>
        <v>1.1360661615687133</v>
      </c>
      <c r="X35">
        <f t="shared" si="8"/>
        <v>0</v>
      </c>
    </row>
    <row r="36" spans="2:24" x14ac:dyDescent="0.35">
      <c r="B36" s="1" t="s">
        <v>11</v>
      </c>
      <c r="C36">
        <f t="shared" si="0"/>
        <v>-0.15958966102837974</v>
      </c>
      <c r="D36">
        <f t="shared" si="1"/>
        <v>1.2005415429877784</v>
      </c>
      <c r="E36">
        <f t="shared" si="1"/>
        <v>1.0236593805333958</v>
      </c>
      <c r="F36">
        <f t="shared" si="1"/>
        <v>1.0117605351729211</v>
      </c>
      <c r="G36">
        <f t="shared" si="1"/>
        <v>1.0825741422742936</v>
      </c>
      <c r="H36">
        <f t="shared" si="2"/>
        <v>0</v>
      </c>
      <c r="J36" s="1" t="s">
        <v>11</v>
      </c>
      <c r="K36">
        <f t="shared" si="3"/>
        <v>0.1002638896959763</v>
      </c>
      <c r="L36">
        <f t="shared" si="4"/>
        <v>1.7326178918901383</v>
      </c>
      <c r="M36">
        <f t="shared" si="4"/>
        <v>2.3665378702685018</v>
      </c>
      <c r="N36">
        <f t="shared" si="4"/>
        <v>1.5383555734187402</v>
      </c>
      <c r="O36">
        <f t="shared" si="4"/>
        <v>1.5222000468162069</v>
      </c>
      <c r="P36">
        <f t="shared" si="5"/>
        <v>0</v>
      </c>
      <c r="R36" s="1" t="s">
        <v>11</v>
      </c>
      <c r="S36">
        <f t="shared" si="6"/>
        <v>-0.18459595864347725</v>
      </c>
      <c r="T36">
        <f t="shared" si="7"/>
        <v>1.4774124157558668</v>
      </c>
      <c r="U36">
        <f t="shared" si="7"/>
        <v>1.5348717602157178</v>
      </c>
      <c r="V36">
        <f t="shared" si="7"/>
        <v>1.2388994148903765</v>
      </c>
      <c r="W36">
        <f t="shared" si="7"/>
        <v>1.3237302168341243</v>
      </c>
      <c r="X36">
        <f t="shared" si="8"/>
        <v>0</v>
      </c>
    </row>
    <row r="37" spans="2:24" x14ac:dyDescent="0.35">
      <c r="B37" s="1" t="s">
        <v>12</v>
      </c>
      <c r="C37">
        <f t="shared" si="0"/>
        <v>-0.16629697615510292</v>
      </c>
      <c r="D37">
        <f t="shared" si="1"/>
        <v>0.97422097579438327</v>
      </c>
      <c r="E37">
        <f t="shared" si="1"/>
        <v>0.85318297220169381</v>
      </c>
      <c r="F37">
        <f t="shared" si="1"/>
        <v>0.92367904176813198</v>
      </c>
      <c r="G37">
        <f t="shared" si="1"/>
        <v>0.94180489846504045</v>
      </c>
      <c r="H37">
        <f t="shared" si="2"/>
        <v>0</v>
      </c>
      <c r="J37" s="9" t="s">
        <v>12</v>
      </c>
      <c r="K37">
        <f t="shared" si="3"/>
        <v>9.4708334140421097E-2</v>
      </c>
      <c r="L37">
        <f t="shared" si="4"/>
        <v>1.6082228099071993</v>
      </c>
      <c r="M37">
        <f t="shared" si="4"/>
        <v>2.8589434940383325</v>
      </c>
      <c r="N37">
        <f t="shared" si="4"/>
        <v>1.6908410611403821</v>
      </c>
      <c r="O37">
        <f t="shared" si="4"/>
        <v>1.6739791141927058</v>
      </c>
      <c r="P37">
        <f t="shared" si="5"/>
        <v>0</v>
      </c>
      <c r="R37" s="9" t="s">
        <v>12</v>
      </c>
      <c r="S37">
        <f t="shared" si="6"/>
        <v>-0.1901515141990324</v>
      </c>
      <c r="T37">
        <f t="shared" si="7"/>
        <v>1.1585626660690407</v>
      </c>
      <c r="U37">
        <f t="shared" si="7"/>
        <v>0.93182615625002574</v>
      </c>
      <c r="V37">
        <f t="shared" si="7"/>
        <v>0.96531142966921601</v>
      </c>
      <c r="W37">
        <f t="shared" si="7"/>
        <v>0.97355149768835425</v>
      </c>
      <c r="X37">
        <f t="shared" si="8"/>
        <v>0</v>
      </c>
    </row>
  </sheetData>
  <conditionalFormatting sqref="C31:G37 S25:W28">
    <cfRule type="cellIs" dxfId="171" priority="12" operator="greaterThan">
      <formula>0</formula>
    </cfRule>
  </conditionalFormatting>
  <conditionalFormatting sqref="D31:G37">
    <cfRule type="cellIs" dxfId="170" priority="9" operator="lessThan">
      <formula>1</formula>
    </cfRule>
    <cfRule type="cellIs" dxfId="169" priority="10" operator="greaterThan">
      <formula>1</formula>
    </cfRule>
  </conditionalFormatting>
  <conditionalFormatting sqref="K31:O37">
    <cfRule type="cellIs" dxfId="168" priority="7" operator="lessThan">
      <formula>0</formula>
    </cfRule>
    <cfRule type="cellIs" dxfId="167" priority="8" operator="greaterThan">
      <formula>0</formula>
    </cfRule>
  </conditionalFormatting>
  <conditionalFormatting sqref="L31:O37">
    <cfRule type="cellIs" dxfId="166" priority="5" operator="lessThan">
      <formula>1</formula>
    </cfRule>
    <cfRule type="cellIs" dxfId="165" priority="6" operator="greaterThan">
      <formula>1</formula>
    </cfRule>
  </conditionalFormatting>
  <conditionalFormatting sqref="S25:W28 C31:G37">
    <cfRule type="cellIs" dxfId="164" priority="11" operator="lessThan">
      <formula>0</formula>
    </cfRule>
  </conditionalFormatting>
  <conditionalFormatting sqref="S31:W37">
    <cfRule type="cellIs" dxfId="163" priority="3" operator="lessThan">
      <formula>0</formula>
    </cfRule>
    <cfRule type="cellIs" dxfId="162" priority="4" operator="greaterThan">
      <formula>0</formula>
    </cfRule>
  </conditionalFormatting>
  <conditionalFormatting sqref="T31:W37">
    <cfRule type="cellIs" dxfId="161" priority="1" operator="lessThan">
      <formula>1</formula>
    </cfRule>
    <cfRule type="cellIs" dxfId="160" priority="2" operator="greaterThan">
      <formula>1</formula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A7AF9-130B-4CD6-9658-A70BBFD2E5C4}">
  <dimension ref="B2:X37"/>
  <sheetViews>
    <sheetView zoomScale="69" workbookViewId="0">
      <selection activeCell="P47" sqref="P47"/>
    </sheetView>
  </sheetViews>
  <sheetFormatPr baseColWidth="10" defaultRowHeight="14.5" x14ac:dyDescent="0.35"/>
  <sheetData>
    <row r="2" spans="2:24" x14ac:dyDescent="0.35">
      <c r="B2" s="3" t="s">
        <v>14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J2" s="11" t="s">
        <v>28</v>
      </c>
      <c r="K2" s="1" t="s">
        <v>0</v>
      </c>
      <c r="L2" s="1" t="s">
        <v>1</v>
      </c>
      <c r="M2" s="1" t="s">
        <v>2</v>
      </c>
      <c r="N2" s="1" t="s">
        <v>3</v>
      </c>
      <c r="O2" s="1" t="s">
        <v>4</v>
      </c>
      <c r="P2" s="1" t="s">
        <v>5</v>
      </c>
      <c r="R2" s="11" t="s">
        <v>29</v>
      </c>
      <c r="S2" s="1" t="s">
        <v>0</v>
      </c>
      <c r="T2" s="1" t="s">
        <v>1</v>
      </c>
      <c r="U2" s="1" t="s">
        <v>2</v>
      </c>
      <c r="V2" s="1" t="s">
        <v>3</v>
      </c>
      <c r="W2" s="1" t="s">
        <v>4</v>
      </c>
      <c r="X2" s="1" t="s">
        <v>5</v>
      </c>
    </row>
    <row r="3" spans="2:24" x14ac:dyDescent="0.35">
      <c r="B3" s="1" t="s">
        <v>6</v>
      </c>
      <c r="C3">
        <v>-5.4546865848972689E-3</v>
      </c>
      <c r="D3">
        <v>0.76446762255763789</v>
      </c>
      <c r="E3">
        <v>1.356081236129169</v>
      </c>
      <c r="F3">
        <v>1.1645090107548199</v>
      </c>
      <c r="G3">
        <v>1.176563876326314</v>
      </c>
      <c r="H3">
        <v>49</v>
      </c>
      <c r="J3" s="1" t="s">
        <v>6</v>
      </c>
      <c r="K3">
        <v>0.29166702266114919</v>
      </c>
      <c r="L3">
        <v>0.99716304917250087</v>
      </c>
      <c r="M3">
        <v>3.2768533147753049</v>
      </c>
      <c r="N3">
        <v>1.810208086042957</v>
      </c>
      <c r="O3">
        <v>1.80469446299437</v>
      </c>
      <c r="P3">
        <v>50</v>
      </c>
      <c r="R3" s="1" t="s">
        <v>6</v>
      </c>
      <c r="S3">
        <v>3.5294046224183001E-2</v>
      </c>
      <c r="T3">
        <v>0.63070665620334765</v>
      </c>
      <c r="U3">
        <v>0.81591122321156084</v>
      </c>
      <c r="V3">
        <v>0.90327804313597748</v>
      </c>
      <c r="W3">
        <v>0.91194174843802411</v>
      </c>
      <c r="X3">
        <v>49</v>
      </c>
    </row>
    <row r="4" spans="2:24" x14ac:dyDescent="0.35">
      <c r="B4" s="1" t="s">
        <v>7</v>
      </c>
      <c r="C4">
        <v>0.17239387584607821</v>
      </c>
      <c r="D4">
        <v>0.75860253043040748</v>
      </c>
      <c r="E4">
        <v>1.590207478978874</v>
      </c>
      <c r="F4">
        <v>1.261034289374747</v>
      </c>
      <c r="G4">
        <v>1.2627000748554069</v>
      </c>
      <c r="H4">
        <v>47</v>
      </c>
      <c r="J4" s="1" t="s">
        <v>7</v>
      </c>
      <c r="K4">
        <v>4.2709634448530147E-2</v>
      </c>
      <c r="L4">
        <v>0.75422340680379951</v>
      </c>
      <c r="M4">
        <v>1.4587435956611421</v>
      </c>
      <c r="N4">
        <v>1.207784581645726</v>
      </c>
      <c r="O4">
        <v>1.220366941248729</v>
      </c>
      <c r="P4">
        <v>46</v>
      </c>
      <c r="R4" s="1" t="s">
        <v>7</v>
      </c>
      <c r="S4">
        <v>6.2596274595046131E-2</v>
      </c>
      <c r="T4">
        <v>0.766135284993673</v>
      </c>
      <c r="U4">
        <v>1.364767539724</v>
      </c>
      <c r="V4">
        <v>1.1682326565046881</v>
      </c>
      <c r="W4">
        <v>1.1788992685595321</v>
      </c>
      <c r="X4">
        <v>48</v>
      </c>
    </row>
    <row r="5" spans="2:24" x14ac:dyDescent="0.35">
      <c r="B5" s="1" t="s">
        <v>8</v>
      </c>
      <c r="C5">
        <v>-0.12594115372751011</v>
      </c>
      <c r="D5">
        <v>0.70569632193738019</v>
      </c>
      <c r="E5">
        <v>1.454172811338649</v>
      </c>
      <c r="F5">
        <v>1.205890878702816</v>
      </c>
      <c r="G5">
        <v>1.2122620514649489</v>
      </c>
      <c r="H5">
        <v>47</v>
      </c>
      <c r="J5" s="1" t="s">
        <v>8</v>
      </c>
      <c r="K5">
        <v>0.107850881875628</v>
      </c>
      <c r="L5">
        <v>0.90070654876640632</v>
      </c>
      <c r="M5">
        <v>2.265139207278668</v>
      </c>
      <c r="N5">
        <v>1.505037942139223</v>
      </c>
      <c r="O5">
        <v>1.5177566790031241</v>
      </c>
      <c r="P5">
        <v>46</v>
      </c>
      <c r="R5" s="1" t="s">
        <v>8</v>
      </c>
      <c r="S5">
        <v>5.6101551482761356E-3</v>
      </c>
      <c r="T5">
        <v>0.64045914350353306</v>
      </c>
      <c r="U5">
        <v>0.81460078416395698</v>
      </c>
      <c r="V5">
        <v>0.90255237197846694</v>
      </c>
      <c r="W5">
        <v>0.91229235380356888</v>
      </c>
      <c r="X5">
        <v>47</v>
      </c>
    </row>
    <row r="6" spans="2:24" x14ac:dyDescent="0.35">
      <c r="B6" s="1" t="s">
        <v>9</v>
      </c>
      <c r="C6">
        <v>0.17216225963062751</v>
      </c>
      <c r="D6">
        <v>0.72245229030875413</v>
      </c>
      <c r="E6">
        <v>1.442886645098663</v>
      </c>
      <c r="F6">
        <v>1.201202166622531</v>
      </c>
      <c r="G6">
        <v>1.202233773833197</v>
      </c>
      <c r="H6">
        <v>45</v>
      </c>
      <c r="J6" s="1" t="s">
        <v>9</v>
      </c>
      <c r="K6">
        <v>7.5230838390498739E-2</v>
      </c>
      <c r="L6">
        <v>0.92397418800460163</v>
      </c>
      <c r="M6">
        <v>2.192712865915047</v>
      </c>
      <c r="N6">
        <v>1.480781167463662</v>
      </c>
      <c r="O6">
        <v>1.495966205798227</v>
      </c>
      <c r="P6">
        <v>44</v>
      </c>
      <c r="R6" s="1" t="s">
        <v>9</v>
      </c>
      <c r="S6">
        <v>8.4588358358277646E-2</v>
      </c>
      <c r="T6">
        <v>0.78293445501635861</v>
      </c>
      <c r="U6">
        <v>1.5294700540795909</v>
      </c>
      <c r="V6">
        <v>1.236717451190688</v>
      </c>
      <c r="W6">
        <v>1.24745504243776</v>
      </c>
      <c r="X6">
        <v>46</v>
      </c>
    </row>
    <row r="7" spans="2:24" x14ac:dyDescent="0.35">
      <c r="B7" s="1" t="s">
        <v>10</v>
      </c>
      <c r="C7">
        <v>3.2197749353628957E-2</v>
      </c>
      <c r="D7">
        <v>0.56917684117262801</v>
      </c>
      <c r="E7">
        <v>0.72238976168977265</v>
      </c>
      <c r="F7">
        <v>0.84993515146143517</v>
      </c>
      <c r="G7">
        <v>0.85914417843489677</v>
      </c>
      <c r="H7">
        <v>44</v>
      </c>
      <c r="J7" s="1" t="s">
        <v>10</v>
      </c>
      <c r="K7">
        <v>-8.3024206222189284E-2</v>
      </c>
      <c r="L7">
        <v>0.81103373889175256</v>
      </c>
      <c r="M7">
        <v>2.012111331273847</v>
      </c>
      <c r="N7">
        <v>1.418489101570346</v>
      </c>
      <c r="O7">
        <v>1.4328159706007999</v>
      </c>
      <c r="P7">
        <v>43</v>
      </c>
      <c r="R7" s="1" t="s">
        <v>10</v>
      </c>
      <c r="S7">
        <v>-2.309205927924261E-2</v>
      </c>
      <c r="T7">
        <v>0.62483874741581602</v>
      </c>
      <c r="U7">
        <v>0.78250351411691244</v>
      </c>
      <c r="V7">
        <v>0.88459228694179359</v>
      </c>
      <c r="W7">
        <v>0.89428313331229969</v>
      </c>
      <c r="X7">
        <v>45</v>
      </c>
    </row>
    <row r="8" spans="2:24" x14ac:dyDescent="0.35">
      <c r="B8" s="1" t="s">
        <v>11</v>
      </c>
      <c r="C8">
        <v>-4.4204146673336157E-2</v>
      </c>
      <c r="D8">
        <v>0.68740612039366766</v>
      </c>
      <c r="E8">
        <v>1.3460910434605531</v>
      </c>
      <c r="F8">
        <v>1.1602116373578371</v>
      </c>
      <c r="G8">
        <v>1.177345029836137</v>
      </c>
      <c r="H8">
        <v>33</v>
      </c>
      <c r="J8" s="1" t="s">
        <v>11</v>
      </c>
      <c r="K8">
        <v>-6.5050404100517115E-2</v>
      </c>
      <c r="L8">
        <v>0.91064387648301437</v>
      </c>
      <c r="M8">
        <v>1.867062729384424</v>
      </c>
      <c r="N8">
        <v>1.366405038553512</v>
      </c>
      <c r="O8">
        <v>1.387416861216487</v>
      </c>
      <c r="P8">
        <v>31</v>
      </c>
      <c r="R8" s="1" t="s">
        <v>11</v>
      </c>
      <c r="S8">
        <v>1.133505838823297E-2</v>
      </c>
      <c r="T8">
        <v>0.59523564950911811</v>
      </c>
      <c r="U8">
        <v>0.71257526542597149</v>
      </c>
      <c r="V8">
        <v>0.84414173301997786</v>
      </c>
      <c r="W8">
        <v>0.85715269573803055</v>
      </c>
      <c r="X8">
        <v>33</v>
      </c>
    </row>
    <row r="9" spans="2:24" x14ac:dyDescent="0.35">
      <c r="B9" s="1" t="s">
        <v>12</v>
      </c>
      <c r="C9">
        <v>-5.2871848351713983E-2</v>
      </c>
      <c r="D9">
        <v>0.69545461419206245</v>
      </c>
      <c r="E9">
        <v>1.254882323663544</v>
      </c>
      <c r="F9">
        <v>1.120215302369836</v>
      </c>
      <c r="G9">
        <v>1.136871492753367</v>
      </c>
      <c r="H9">
        <v>32</v>
      </c>
      <c r="J9" s="1" t="s">
        <v>12</v>
      </c>
      <c r="K9">
        <v>-4.8813596856578781E-2</v>
      </c>
      <c r="L9">
        <v>0.91022406411151957</v>
      </c>
      <c r="M9">
        <v>1.85667906236111</v>
      </c>
      <c r="N9">
        <v>1.3626001109500581</v>
      </c>
      <c r="O9">
        <v>1.385004529479597</v>
      </c>
      <c r="P9">
        <v>30</v>
      </c>
      <c r="R9" s="1" t="s">
        <v>12</v>
      </c>
      <c r="S9">
        <v>7.8664311271988419E-3</v>
      </c>
      <c r="T9">
        <v>0.5596907884187976</v>
      </c>
      <c r="U9">
        <v>0.67180912225296741</v>
      </c>
      <c r="V9">
        <v>0.81963962950370295</v>
      </c>
      <c r="W9">
        <v>0.83271634268194117</v>
      </c>
      <c r="X9">
        <v>32</v>
      </c>
    </row>
    <row r="10" spans="2:24" x14ac:dyDescent="0.35">
      <c r="B10" s="1"/>
      <c r="C10">
        <v>-4.9847501098998267E-3</v>
      </c>
      <c r="D10">
        <v>0.6302426060337214</v>
      </c>
      <c r="E10">
        <v>0.69338655599445298</v>
      </c>
      <c r="F10">
        <v>0.8326983583473988</v>
      </c>
      <c r="G10">
        <v>0.86190924381000655</v>
      </c>
      <c r="H10">
        <v>15</v>
      </c>
      <c r="K10">
        <v>0.1179538098317145</v>
      </c>
      <c r="L10">
        <v>0.8218484025062287</v>
      </c>
      <c r="M10">
        <v>1.1518565123091831</v>
      </c>
      <c r="N10">
        <v>1.07324578373697</v>
      </c>
      <c r="O10">
        <v>1.11030267433854</v>
      </c>
      <c r="P10">
        <v>13</v>
      </c>
      <c r="S10">
        <v>-6.8787455501733236E-2</v>
      </c>
      <c r="T10">
        <v>0.54997224616650597</v>
      </c>
      <c r="U10">
        <v>0.55455724630858338</v>
      </c>
      <c r="V10">
        <v>0.74468600517841299</v>
      </c>
      <c r="W10">
        <v>0.76752770932356507</v>
      </c>
      <c r="X10">
        <v>15</v>
      </c>
    </row>
    <row r="11" spans="2:24" x14ac:dyDescent="0.35">
      <c r="B11" s="1"/>
      <c r="C11">
        <v>-3.799394210172221E-2</v>
      </c>
      <c r="D11">
        <v>0.52927728219742187</v>
      </c>
      <c r="E11">
        <v>0.4688629943990994</v>
      </c>
      <c r="F11">
        <v>0.68473571135080968</v>
      </c>
      <c r="G11">
        <v>0.72515300910084102</v>
      </c>
      <c r="H11">
        <v>9</v>
      </c>
      <c r="K11">
        <v>0.30879853722499312</v>
      </c>
      <c r="L11">
        <v>0.81754810890530139</v>
      </c>
      <c r="M11">
        <v>1.171911207541555</v>
      </c>
      <c r="N11">
        <v>1.082548478148464</v>
      </c>
      <c r="O11">
        <v>1.120705335688557</v>
      </c>
      <c r="P11">
        <v>7</v>
      </c>
      <c r="S11">
        <v>-0.1598871496893112</v>
      </c>
      <c r="T11">
        <v>0.35084605233087718</v>
      </c>
      <c r="U11">
        <v>0.27861837951743579</v>
      </c>
      <c r="V11">
        <v>0.52784313912130731</v>
      </c>
      <c r="W11">
        <v>0.53356001418947385</v>
      </c>
      <c r="X11">
        <v>9</v>
      </c>
    </row>
    <row r="12" spans="2:24" x14ac:dyDescent="0.35">
      <c r="B12" s="1"/>
      <c r="C12">
        <v>-0.174551384566527</v>
      </c>
      <c r="D12">
        <v>0.50190074333287293</v>
      </c>
      <c r="E12">
        <v>0.31355977358877779</v>
      </c>
      <c r="F12">
        <v>0.55996408240955753</v>
      </c>
      <c r="G12">
        <v>0.59486509787375974</v>
      </c>
      <c r="H12">
        <v>5</v>
      </c>
      <c r="K12">
        <v>0.1847752594325322</v>
      </c>
      <c r="L12">
        <v>0.76993182869405752</v>
      </c>
      <c r="M12">
        <v>1.072099526920768</v>
      </c>
      <c r="N12">
        <v>1.0354223905830739</v>
      </c>
      <c r="O12">
        <v>1.1764112831955831</v>
      </c>
      <c r="P12">
        <v>4</v>
      </c>
      <c r="S12">
        <v>-0.24856666637218799</v>
      </c>
      <c r="T12">
        <v>0.30137453383534801</v>
      </c>
      <c r="U12">
        <v>0.15615410053025561</v>
      </c>
      <c r="V12">
        <v>0.39516338460218647</v>
      </c>
      <c r="W12">
        <v>0.34345435085843817</v>
      </c>
      <c r="X12">
        <v>5</v>
      </c>
    </row>
    <row r="14" spans="2:24" x14ac:dyDescent="0.35">
      <c r="B14" s="4" t="s">
        <v>13</v>
      </c>
      <c r="C14" s="1" t="s">
        <v>0</v>
      </c>
      <c r="D14" s="1" t="s">
        <v>1</v>
      </c>
      <c r="E14" s="1" t="s">
        <v>2</v>
      </c>
      <c r="F14" s="1" t="s">
        <v>3</v>
      </c>
      <c r="G14" s="1" t="s">
        <v>4</v>
      </c>
      <c r="H14" s="1" t="s">
        <v>5</v>
      </c>
      <c r="J14" s="4" t="s">
        <v>13</v>
      </c>
      <c r="K14" s="1" t="s">
        <v>0</v>
      </c>
      <c r="L14" s="1" t="s">
        <v>1</v>
      </c>
      <c r="M14" s="1" t="s">
        <v>2</v>
      </c>
      <c r="N14" s="1" t="s">
        <v>3</v>
      </c>
      <c r="O14" s="1" t="s">
        <v>4</v>
      </c>
      <c r="P14" s="1" t="s">
        <v>5</v>
      </c>
      <c r="R14" s="4" t="s">
        <v>13</v>
      </c>
      <c r="S14" s="1" t="s">
        <v>0</v>
      </c>
      <c r="T14" s="1" t="s">
        <v>1</v>
      </c>
      <c r="U14" s="1" t="s">
        <v>2</v>
      </c>
      <c r="V14" s="1" t="s">
        <v>3</v>
      </c>
      <c r="W14" s="1" t="s">
        <v>4</v>
      </c>
      <c r="X14" s="1" t="s">
        <v>5</v>
      </c>
    </row>
    <row r="15" spans="2:24" x14ac:dyDescent="0.35">
      <c r="B15" s="1" t="s">
        <v>6</v>
      </c>
      <c r="C15">
        <v>-5.3572066223209903E-2</v>
      </c>
      <c r="D15">
        <v>0.38043805952921689</v>
      </c>
      <c r="E15">
        <v>0.29880771583099969</v>
      </c>
      <c r="F15">
        <v>0.54663307239042869</v>
      </c>
      <c r="G15">
        <v>0.54975839913035907</v>
      </c>
      <c r="H15">
        <v>48</v>
      </c>
      <c r="J15" s="1" t="s">
        <v>6</v>
      </c>
      <c r="K15">
        <v>-5.3572066223209903E-2</v>
      </c>
      <c r="L15">
        <v>0.38043805952921689</v>
      </c>
      <c r="M15">
        <v>0.29880771583099969</v>
      </c>
      <c r="N15">
        <v>0.54663307239042869</v>
      </c>
      <c r="O15">
        <v>0.54975839913035907</v>
      </c>
      <c r="P15">
        <v>48</v>
      </c>
      <c r="R15" s="1" t="s">
        <v>6</v>
      </c>
      <c r="S15">
        <v>-5.3572066223209903E-2</v>
      </c>
      <c r="T15">
        <v>0.38043805952921689</v>
      </c>
      <c r="U15">
        <v>0.29880771583099969</v>
      </c>
      <c r="V15">
        <v>0.54663307239042869</v>
      </c>
      <c r="W15">
        <v>0.54975839913035907</v>
      </c>
      <c r="X15">
        <v>48</v>
      </c>
    </row>
    <row r="16" spans="2:24" x14ac:dyDescent="0.35">
      <c r="B16" s="1" t="s">
        <v>7</v>
      </c>
      <c r="C16">
        <v>0.14221119580345201</v>
      </c>
      <c r="D16">
        <v>0.53065684837869265</v>
      </c>
      <c r="E16">
        <v>0.53786678202678873</v>
      </c>
      <c r="F16">
        <v>0.73339401553788852</v>
      </c>
      <c r="G16">
        <v>0.72725226795500653</v>
      </c>
      <c r="H16">
        <v>47</v>
      </c>
      <c r="J16" s="1" t="s">
        <v>7</v>
      </c>
      <c r="K16">
        <v>0.14221119580345201</v>
      </c>
      <c r="L16">
        <v>0.53065684837869265</v>
      </c>
      <c r="M16">
        <v>0.53786678202678873</v>
      </c>
      <c r="N16">
        <v>0.73339401553788852</v>
      </c>
      <c r="O16">
        <v>0.72725226795500653</v>
      </c>
      <c r="P16">
        <v>47</v>
      </c>
      <c r="R16" s="1" t="s">
        <v>7</v>
      </c>
      <c r="S16">
        <v>0.14221119580345201</v>
      </c>
      <c r="T16">
        <v>0.53065684837869265</v>
      </c>
      <c r="U16">
        <v>0.53786678202678873</v>
      </c>
      <c r="V16">
        <v>0.73339401553788852</v>
      </c>
      <c r="W16">
        <v>0.72725226795500653</v>
      </c>
      <c r="X16">
        <v>47</v>
      </c>
    </row>
    <row r="17" spans="2:24" x14ac:dyDescent="0.35">
      <c r="B17" s="1" t="s">
        <v>8</v>
      </c>
      <c r="C17">
        <v>0.42759643623415827</v>
      </c>
      <c r="D17">
        <v>0.71474634995463127</v>
      </c>
      <c r="E17">
        <v>0.9954974958833912</v>
      </c>
      <c r="F17">
        <v>0.99774620815285042</v>
      </c>
      <c r="G17">
        <v>0.91122186041543207</v>
      </c>
      <c r="H17">
        <v>47</v>
      </c>
      <c r="J17" s="1" t="s">
        <v>8</v>
      </c>
      <c r="K17">
        <v>0.42759643623415827</v>
      </c>
      <c r="L17">
        <v>0.71474634995463127</v>
      </c>
      <c r="M17">
        <v>0.9954974958833912</v>
      </c>
      <c r="N17">
        <v>0.99774620815285042</v>
      </c>
      <c r="O17">
        <v>0.91122186041543207</v>
      </c>
      <c r="P17">
        <v>47</v>
      </c>
      <c r="R17" s="1" t="s">
        <v>8</v>
      </c>
      <c r="S17">
        <v>0.42759643623415827</v>
      </c>
      <c r="T17">
        <v>0.71474634995463127</v>
      </c>
      <c r="U17">
        <v>0.9954974958833912</v>
      </c>
      <c r="V17">
        <v>0.99774620815285042</v>
      </c>
      <c r="W17">
        <v>0.91122186041543207</v>
      </c>
      <c r="X17">
        <v>47</v>
      </c>
    </row>
    <row r="18" spans="2:24" x14ac:dyDescent="0.35">
      <c r="B18" s="1" t="s">
        <v>9</v>
      </c>
      <c r="C18">
        <v>0.42606362514494339</v>
      </c>
      <c r="D18">
        <v>0.80595059822009429</v>
      </c>
      <c r="E18">
        <v>1.3918342807952471</v>
      </c>
      <c r="F18">
        <v>1.179760264119472</v>
      </c>
      <c r="G18">
        <v>1.1122947963925289</v>
      </c>
      <c r="H18">
        <v>46</v>
      </c>
      <c r="J18" s="1" t="s">
        <v>9</v>
      </c>
      <c r="K18">
        <v>0.42606362514494339</v>
      </c>
      <c r="L18">
        <v>0.80595059822009429</v>
      </c>
      <c r="M18">
        <v>1.3918342807952471</v>
      </c>
      <c r="N18">
        <v>1.179760264119472</v>
      </c>
      <c r="O18">
        <v>1.1122947963925289</v>
      </c>
      <c r="P18">
        <v>46</v>
      </c>
      <c r="R18" s="1" t="s">
        <v>9</v>
      </c>
      <c r="S18">
        <v>0.42606362514494339</v>
      </c>
      <c r="T18">
        <v>0.80595059822009429</v>
      </c>
      <c r="U18">
        <v>1.3918342807952471</v>
      </c>
      <c r="V18">
        <v>1.179760264119472</v>
      </c>
      <c r="W18">
        <v>1.1122947963925289</v>
      </c>
      <c r="X18">
        <v>46</v>
      </c>
    </row>
    <row r="19" spans="2:24" x14ac:dyDescent="0.35">
      <c r="B19" s="1" t="s">
        <v>10</v>
      </c>
      <c r="C19">
        <v>0.25044273192587369</v>
      </c>
      <c r="D19">
        <v>0.60076830775507284</v>
      </c>
      <c r="E19">
        <v>0.70729539991867307</v>
      </c>
      <c r="F19">
        <v>0.84100856114469669</v>
      </c>
      <c r="G19">
        <v>0.81192563905323267</v>
      </c>
      <c r="H19">
        <v>45</v>
      </c>
      <c r="J19" s="1" t="s">
        <v>10</v>
      </c>
      <c r="K19">
        <v>0.25044273192587369</v>
      </c>
      <c r="L19">
        <v>0.60076830775507284</v>
      </c>
      <c r="M19">
        <v>0.70729539991867307</v>
      </c>
      <c r="N19">
        <v>0.84100856114469669</v>
      </c>
      <c r="O19">
        <v>0.81192563905323267</v>
      </c>
      <c r="P19">
        <v>45</v>
      </c>
      <c r="R19" s="1" t="s">
        <v>10</v>
      </c>
      <c r="S19">
        <v>0.25044273192587369</v>
      </c>
      <c r="T19">
        <v>0.60076830775507284</v>
      </c>
      <c r="U19">
        <v>0.70729539991867307</v>
      </c>
      <c r="V19">
        <v>0.84100856114469669</v>
      </c>
      <c r="W19">
        <v>0.81192563905323267</v>
      </c>
      <c r="X19">
        <v>45</v>
      </c>
    </row>
    <row r="20" spans="2:24" x14ac:dyDescent="0.35">
      <c r="B20" s="1" t="s">
        <v>11</v>
      </c>
      <c r="C20">
        <v>0.28573800236025371</v>
      </c>
      <c r="D20">
        <v>0.52696035749014358</v>
      </c>
      <c r="E20">
        <v>0.49822328455752091</v>
      </c>
      <c r="F20">
        <v>0.70584933559331264</v>
      </c>
      <c r="G20">
        <v>0.65543505572241045</v>
      </c>
      <c r="H20">
        <v>33</v>
      </c>
      <c r="J20" s="1" t="s">
        <v>11</v>
      </c>
      <c r="K20">
        <v>0.28573800236025371</v>
      </c>
      <c r="L20">
        <v>0.52696035749014358</v>
      </c>
      <c r="M20">
        <v>0.49822328455752091</v>
      </c>
      <c r="N20">
        <v>0.70584933559331264</v>
      </c>
      <c r="O20">
        <v>0.65543505572241045</v>
      </c>
      <c r="P20">
        <v>33</v>
      </c>
      <c r="R20" s="1" t="s">
        <v>11</v>
      </c>
      <c r="S20">
        <v>0.28573800236025371</v>
      </c>
      <c r="T20">
        <v>0.52696035749014358</v>
      </c>
      <c r="U20">
        <v>0.49822328455752091</v>
      </c>
      <c r="V20">
        <v>0.70584933559331264</v>
      </c>
      <c r="W20">
        <v>0.65543505572241045</v>
      </c>
      <c r="X20">
        <v>33</v>
      </c>
    </row>
    <row r="21" spans="2:24" x14ac:dyDescent="0.35">
      <c r="B21" s="1" t="s">
        <v>12</v>
      </c>
      <c r="C21">
        <v>0.22206225135057381</v>
      </c>
      <c r="D21">
        <v>0.5237084216827369</v>
      </c>
      <c r="E21">
        <v>0.51963662299470248</v>
      </c>
      <c r="F21">
        <v>0.72085825444029039</v>
      </c>
      <c r="G21">
        <v>0.69677597049031081</v>
      </c>
      <c r="H21">
        <v>32</v>
      </c>
      <c r="J21" s="1" t="s">
        <v>12</v>
      </c>
      <c r="K21">
        <v>0.22206225135057381</v>
      </c>
      <c r="L21">
        <v>0.5237084216827369</v>
      </c>
      <c r="M21">
        <v>0.51963662299470248</v>
      </c>
      <c r="N21">
        <v>0.72085825444029039</v>
      </c>
      <c r="O21">
        <v>0.69677597049031081</v>
      </c>
      <c r="P21">
        <v>32</v>
      </c>
      <c r="R21" s="1" t="s">
        <v>12</v>
      </c>
      <c r="S21">
        <v>0.22206225135057381</v>
      </c>
      <c r="T21">
        <v>0.5237084216827369</v>
      </c>
      <c r="U21">
        <v>0.51963662299470248</v>
      </c>
      <c r="V21">
        <v>0.72085825444029039</v>
      </c>
      <c r="W21">
        <v>0.69677597049031081</v>
      </c>
      <c r="X21">
        <v>32</v>
      </c>
    </row>
    <row r="22" spans="2:24" x14ac:dyDescent="0.35">
      <c r="B22" s="1"/>
      <c r="C22">
        <v>0.1516990397508117</v>
      </c>
      <c r="D22">
        <v>0.52694506979270106</v>
      </c>
      <c r="E22">
        <v>0.49051982693600588</v>
      </c>
      <c r="F22">
        <v>0.70037120652979867</v>
      </c>
      <c r="G22">
        <v>0.70774331626860276</v>
      </c>
      <c r="H22">
        <v>15</v>
      </c>
      <c r="J22" s="1"/>
      <c r="K22">
        <v>0.1516990397508117</v>
      </c>
      <c r="L22">
        <v>0.52694506979270106</v>
      </c>
      <c r="M22">
        <v>0.49051982693600588</v>
      </c>
      <c r="N22">
        <v>0.70037120652979867</v>
      </c>
      <c r="O22">
        <v>0.70774331626860276</v>
      </c>
      <c r="P22">
        <v>15</v>
      </c>
      <c r="R22" s="1"/>
      <c r="S22">
        <v>0.1516990397508117</v>
      </c>
      <c r="T22">
        <v>0.52694506979270106</v>
      </c>
      <c r="U22">
        <v>0.49051982693600588</v>
      </c>
      <c r="V22">
        <v>0.70037120652979867</v>
      </c>
      <c r="W22">
        <v>0.70774331626860276</v>
      </c>
      <c r="X22">
        <v>15</v>
      </c>
    </row>
    <row r="23" spans="2:24" x14ac:dyDescent="0.35">
      <c r="B23" s="1"/>
      <c r="C23">
        <v>0.16639510560762649</v>
      </c>
      <c r="D23">
        <v>0.35856654682533362</v>
      </c>
      <c r="E23">
        <v>0.18591164695104531</v>
      </c>
      <c r="F23">
        <v>0.43117472902646481</v>
      </c>
      <c r="G23">
        <v>0.42190325342841473</v>
      </c>
      <c r="H23">
        <v>9</v>
      </c>
      <c r="J23" s="1"/>
      <c r="K23">
        <v>0.16639510560762649</v>
      </c>
      <c r="L23">
        <v>0.35856654682533362</v>
      </c>
      <c r="M23">
        <v>0.18591164695104531</v>
      </c>
      <c r="N23">
        <v>0.43117472902646481</v>
      </c>
      <c r="O23">
        <v>0.42190325342841473</v>
      </c>
      <c r="P23">
        <v>9</v>
      </c>
      <c r="R23" s="1"/>
      <c r="S23">
        <v>0.16639510560762649</v>
      </c>
      <c r="T23">
        <v>0.35856654682533362</v>
      </c>
      <c r="U23">
        <v>0.18591164695104531</v>
      </c>
      <c r="V23">
        <v>0.43117472902646481</v>
      </c>
      <c r="W23">
        <v>0.42190325342841473</v>
      </c>
      <c r="X23">
        <v>9</v>
      </c>
    </row>
    <row r="24" spans="2:24" x14ac:dyDescent="0.35">
      <c r="B24" s="1"/>
      <c r="C24">
        <v>0.1218082912510491</v>
      </c>
      <c r="D24">
        <v>0.46411688544292867</v>
      </c>
      <c r="E24">
        <v>0.26446048511953951</v>
      </c>
      <c r="F24">
        <v>0.51425721688619941</v>
      </c>
      <c r="G24">
        <v>0.55859558862163317</v>
      </c>
      <c r="H24">
        <v>5</v>
      </c>
      <c r="J24" s="1"/>
      <c r="K24">
        <v>0.1218082912510491</v>
      </c>
      <c r="L24">
        <v>0.46411688544292867</v>
      </c>
      <c r="M24">
        <v>0.26446048511953951</v>
      </c>
      <c r="N24">
        <v>0.51425721688619941</v>
      </c>
      <c r="O24">
        <v>0.55859558862163317</v>
      </c>
      <c r="P24">
        <v>5</v>
      </c>
      <c r="R24" s="1"/>
      <c r="S24">
        <v>0.1218082912510491</v>
      </c>
      <c r="T24">
        <v>0.46411688544292867</v>
      </c>
      <c r="U24">
        <v>0.26446048511953951</v>
      </c>
      <c r="V24">
        <v>0.51425721688619941</v>
      </c>
      <c r="W24">
        <v>0.55859558862163317</v>
      </c>
      <c r="X24">
        <v>5</v>
      </c>
    </row>
    <row r="25" spans="2:24" x14ac:dyDescent="0.35">
      <c r="R25" s="5"/>
    </row>
    <row r="26" spans="2:24" x14ac:dyDescent="0.35">
      <c r="R26" s="5"/>
    </row>
    <row r="27" spans="2:24" x14ac:dyDescent="0.35">
      <c r="R27" s="5"/>
    </row>
    <row r="28" spans="2:24" x14ac:dyDescent="0.35">
      <c r="D28" t="s">
        <v>15</v>
      </c>
      <c r="R28" s="5"/>
    </row>
    <row r="29" spans="2:24" x14ac:dyDescent="0.35">
      <c r="B29" s="2" t="s">
        <v>27</v>
      </c>
      <c r="D29" t="s">
        <v>20</v>
      </c>
      <c r="J29" s="2" t="s">
        <v>30</v>
      </c>
      <c r="L29" t="s">
        <v>20</v>
      </c>
      <c r="R29" s="2" t="s">
        <v>31</v>
      </c>
      <c r="T29" t="s">
        <v>20</v>
      </c>
    </row>
    <row r="30" spans="2:24" x14ac:dyDescent="0.35">
      <c r="C30" s="1" t="s">
        <v>0</v>
      </c>
      <c r="D30" s="1" t="s">
        <v>1</v>
      </c>
      <c r="E30" s="1" t="s">
        <v>2</v>
      </c>
      <c r="F30" s="1" t="s">
        <v>3</v>
      </c>
      <c r="G30" s="1" t="s">
        <v>4</v>
      </c>
      <c r="H30" s="1" t="s">
        <v>5</v>
      </c>
      <c r="K30" s="1" t="s">
        <v>0</v>
      </c>
      <c r="L30" s="1" t="s">
        <v>1</v>
      </c>
      <c r="M30" s="1" t="s">
        <v>2</v>
      </c>
      <c r="N30" s="1" t="s">
        <v>3</v>
      </c>
      <c r="O30" s="1" t="s">
        <v>4</v>
      </c>
      <c r="P30" s="1" t="s">
        <v>5</v>
      </c>
      <c r="S30" s="1" t="s">
        <v>0</v>
      </c>
      <c r="T30" s="1" t="s">
        <v>1</v>
      </c>
      <c r="U30" s="1" t="s">
        <v>2</v>
      </c>
      <c r="V30" s="1" t="s">
        <v>3</v>
      </c>
      <c r="W30" s="1" t="s">
        <v>4</v>
      </c>
      <c r="X30" s="1" t="s">
        <v>5</v>
      </c>
    </row>
    <row r="31" spans="2:24" x14ac:dyDescent="0.35">
      <c r="B31" s="1" t="s">
        <v>6</v>
      </c>
      <c r="C31">
        <f t="shared" ref="C31:C37" si="0">C3-C15</f>
        <v>4.8117379638312634E-2</v>
      </c>
      <c r="D31">
        <f t="shared" ref="D31:G37" si="1">D3/D15</f>
        <v>2.0094404421672438</v>
      </c>
      <c r="E31">
        <f t="shared" si="1"/>
        <v>4.5383072935644817</v>
      </c>
      <c r="F31">
        <f>F3/F15</f>
        <v>2.1303303249882362</v>
      </c>
      <c r="G31">
        <f t="shared" si="1"/>
        <v>2.1401471595294836</v>
      </c>
      <c r="H31">
        <f t="shared" ref="H31:H37" si="2">H3-H15</f>
        <v>1</v>
      </c>
      <c r="J31" s="1" t="s">
        <v>6</v>
      </c>
      <c r="K31">
        <f t="shared" ref="K31:K37" si="3">K3-K15</f>
        <v>0.34523908888435911</v>
      </c>
      <c r="L31">
        <f t="shared" ref="L31:O37" si="4">L3/L15</f>
        <v>2.6210917235948124</v>
      </c>
      <c r="M31">
        <f t="shared" si="4"/>
        <v>10.966428044410454</v>
      </c>
      <c r="N31">
        <f t="shared" si="4"/>
        <v>3.3115597600542346</v>
      </c>
      <c r="O31">
        <f t="shared" si="4"/>
        <v>3.2827046678125233</v>
      </c>
      <c r="P31">
        <f t="shared" ref="P31:P37" si="5">P3-P15</f>
        <v>2</v>
      </c>
      <c r="R31" s="1" t="s">
        <v>6</v>
      </c>
      <c r="S31">
        <f t="shared" ref="S31:S37" si="6">S3-S15</f>
        <v>8.8866112447392898E-2</v>
      </c>
      <c r="T31">
        <f t="shared" ref="T31:W37" si="7">T3/T15</f>
        <v>1.6578432162750285</v>
      </c>
      <c r="U31">
        <f t="shared" si="7"/>
        <v>2.7305560733010847</v>
      </c>
      <c r="V31">
        <f t="shared" si="7"/>
        <v>1.6524394310537027</v>
      </c>
      <c r="W31">
        <f t="shared" si="7"/>
        <v>1.6588045764841219</v>
      </c>
      <c r="X31">
        <f t="shared" ref="X31:X37" si="8">X3-X15</f>
        <v>1</v>
      </c>
    </row>
    <row r="32" spans="2:24" x14ac:dyDescent="0.35">
      <c r="B32" s="1" t="s">
        <v>7</v>
      </c>
      <c r="C32">
        <f t="shared" si="0"/>
        <v>3.0182680042626198E-2</v>
      </c>
      <c r="D32">
        <f t="shared" si="1"/>
        <v>1.4295538307818954</v>
      </c>
      <c r="E32">
        <f t="shared" si="1"/>
        <v>2.9565080650391846</v>
      </c>
      <c r="F32">
        <f t="shared" si="1"/>
        <v>1.7194499309486111</v>
      </c>
      <c r="G32">
        <f t="shared" si="1"/>
        <v>1.7362614466724873</v>
      </c>
      <c r="H32">
        <f t="shared" si="2"/>
        <v>0</v>
      </c>
      <c r="J32" s="1" t="s">
        <v>7</v>
      </c>
      <c r="K32">
        <f t="shared" si="3"/>
        <v>-9.9501561354921858E-2</v>
      </c>
      <c r="L32">
        <f t="shared" si="4"/>
        <v>1.4213015607132296</v>
      </c>
      <c r="M32">
        <f t="shared" si="4"/>
        <v>2.7120908827355108</v>
      </c>
      <c r="N32">
        <f t="shared" si="4"/>
        <v>1.6468427012728053</v>
      </c>
      <c r="O32">
        <f t="shared" si="4"/>
        <v>1.6780517504336341</v>
      </c>
      <c r="P32">
        <f t="shared" si="5"/>
        <v>-1</v>
      </c>
      <c r="R32" s="1" t="s">
        <v>7</v>
      </c>
      <c r="S32">
        <f t="shared" si="6"/>
        <v>-7.9614921208405881E-2</v>
      </c>
      <c r="T32">
        <f t="shared" si="7"/>
        <v>1.4437489826701264</v>
      </c>
      <c r="U32">
        <f t="shared" si="7"/>
        <v>2.5373709351993914</v>
      </c>
      <c r="V32">
        <f t="shared" si="7"/>
        <v>1.5929127205215585</v>
      </c>
      <c r="W32">
        <f t="shared" si="7"/>
        <v>1.6210320964340643</v>
      </c>
      <c r="X32">
        <f t="shared" si="8"/>
        <v>1</v>
      </c>
    </row>
    <row r="33" spans="2:24" x14ac:dyDescent="0.35">
      <c r="B33" s="1" t="s">
        <v>8</v>
      </c>
      <c r="C33">
        <f t="shared" si="0"/>
        <v>-0.55353758996166835</v>
      </c>
      <c r="D33">
        <f t="shared" si="1"/>
        <v>0.98733812629078055</v>
      </c>
      <c r="E33">
        <f t="shared" si="1"/>
        <v>1.4607498435224444</v>
      </c>
      <c r="F33">
        <f t="shared" si="1"/>
        <v>1.2086148449867911</v>
      </c>
      <c r="G33">
        <f t="shared" si="1"/>
        <v>1.3303698079765893</v>
      </c>
      <c r="H33">
        <f t="shared" si="2"/>
        <v>0</v>
      </c>
      <c r="J33" s="1" t="s">
        <v>8</v>
      </c>
      <c r="K33">
        <f t="shared" si="3"/>
        <v>-0.31974555435853025</v>
      </c>
      <c r="L33">
        <f t="shared" si="4"/>
        <v>1.2601764931343531</v>
      </c>
      <c r="M33">
        <f t="shared" si="4"/>
        <v>2.2753841337075524</v>
      </c>
      <c r="N33">
        <f t="shared" si="4"/>
        <v>1.5084376466090841</v>
      </c>
      <c r="O33">
        <f t="shared" si="4"/>
        <v>1.6656280374037216</v>
      </c>
      <c r="P33">
        <f t="shared" si="5"/>
        <v>-1</v>
      </c>
      <c r="R33" s="1" t="s">
        <v>8</v>
      </c>
      <c r="S33">
        <f t="shared" si="6"/>
        <v>-0.42198628108588215</v>
      </c>
      <c r="T33">
        <f t="shared" si="7"/>
        <v>0.89606493764422357</v>
      </c>
      <c r="U33">
        <f t="shared" si="7"/>
        <v>0.81828511626851563</v>
      </c>
      <c r="V33">
        <f t="shared" si="7"/>
        <v>0.90459113209699094</v>
      </c>
      <c r="W33">
        <f t="shared" si="7"/>
        <v>1.0011747889670346</v>
      </c>
      <c r="X33">
        <f t="shared" si="8"/>
        <v>0</v>
      </c>
    </row>
    <row r="34" spans="2:24" x14ac:dyDescent="0.35">
      <c r="B34" s="1" t="s">
        <v>9</v>
      </c>
      <c r="C34">
        <f t="shared" si="0"/>
        <v>-0.25390136551431586</v>
      </c>
      <c r="D34">
        <f t="shared" si="1"/>
        <v>0.89639773443218174</v>
      </c>
      <c r="E34">
        <f t="shared" si="1"/>
        <v>1.0366799158548146</v>
      </c>
      <c r="F34">
        <f t="shared" si="1"/>
        <v>1.0181747963168284</v>
      </c>
      <c r="G34">
        <f t="shared" si="1"/>
        <v>1.0808589393138981</v>
      </c>
      <c r="H34">
        <f t="shared" si="2"/>
        <v>-1</v>
      </c>
      <c r="J34" s="1" t="s">
        <v>9</v>
      </c>
      <c r="K34">
        <f t="shared" si="3"/>
        <v>-0.35083278675444463</v>
      </c>
      <c r="L34">
        <f t="shared" si="4"/>
        <v>1.1464402285266084</v>
      </c>
      <c r="M34">
        <f t="shared" si="4"/>
        <v>1.5754123146486987</v>
      </c>
      <c r="N34">
        <f t="shared" si="4"/>
        <v>1.2551542991396312</v>
      </c>
      <c r="O34">
        <f t="shared" si="4"/>
        <v>1.3449368015116565</v>
      </c>
      <c r="P34">
        <f t="shared" si="5"/>
        <v>-2</v>
      </c>
      <c r="R34" s="1" t="s">
        <v>9</v>
      </c>
      <c r="S34">
        <f t="shared" si="6"/>
        <v>-0.34147526678666573</v>
      </c>
      <c r="T34">
        <f t="shared" si="7"/>
        <v>0.97144224068501739</v>
      </c>
      <c r="U34">
        <f t="shared" si="7"/>
        <v>1.098888046647122</v>
      </c>
      <c r="V34">
        <f t="shared" si="7"/>
        <v>1.048278611175065</v>
      </c>
      <c r="W34">
        <f t="shared" si="7"/>
        <v>1.1215147697207539</v>
      </c>
      <c r="X34">
        <f t="shared" si="8"/>
        <v>0</v>
      </c>
    </row>
    <row r="35" spans="2:24" x14ac:dyDescent="0.35">
      <c r="B35" s="1" t="s">
        <v>10</v>
      </c>
      <c r="C35">
        <f t="shared" si="0"/>
        <v>-0.21824498257224473</v>
      </c>
      <c r="D35">
        <f t="shared" si="1"/>
        <v>0.94741489160689152</v>
      </c>
      <c r="E35">
        <f t="shared" si="1"/>
        <v>1.0213409584917916</v>
      </c>
      <c r="F35">
        <f t="shared" si="1"/>
        <v>1.0106141491646512</v>
      </c>
      <c r="G35">
        <f t="shared" si="1"/>
        <v>1.0581562363724892</v>
      </c>
      <c r="H35">
        <f t="shared" si="2"/>
        <v>-1</v>
      </c>
      <c r="J35" s="1" t="s">
        <v>10</v>
      </c>
      <c r="K35">
        <f t="shared" si="3"/>
        <v>-0.33346693814806294</v>
      </c>
      <c r="L35">
        <f t="shared" si="4"/>
        <v>1.3499942131141891</v>
      </c>
      <c r="M35">
        <f t="shared" si="4"/>
        <v>2.8447962923344412</v>
      </c>
      <c r="N35">
        <f t="shared" si="4"/>
        <v>1.6866523922653542</v>
      </c>
      <c r="O35">
        <f t="shared" si="4"/>
        <v>1.7647132960003244</v>
      </c>
      <c r="P35">
        <f t="shared" si="5"/>
        <v>-2</v>
      </c>
      <c r="R35" s="1" t="s">
        <v>10</v>
      </c>
      <c r="S35">
        <f t="shared" si="6"/>
        <v>-0.27353479120511631</v>
      </c>
      <c r="T35">
        <f t="shared" si="7"/>
        <v>1.0400660942829836</v>
      </c>
      <c r="U35">
        <f t="shared" si="7"/>
        <v>1.1063319713473141</v>
      </c>
      <c r="V35">
        <f t="shared" si="7"/>
        <v>1.0518231654357657</v>
      </c>
      <c r="W35">
        <f t="shared" si="7"/>
        <v>1.1014347746858963</v>
      </c>
      <c r="X35">
        <f t="shared" si="8"/>
        <v>0</v>
      </c>
    </row>
    <row r="36" spans="2:24" x14ac:dyDescent="0.35">
      <c r="B36" s="1" t="s">
        <v>11</v>
      </c>
      <c r="C36">
        <f t="shared" si="0"/>
        <v>-0.32994214903358987</v>
      </c>
      <c r="D36">
        <f t="shared" si="1"/>
        <v>1.3044740664510519</v>
      </c>
      <c r="E36">
        <f t="shared" si="1"/>
        <v>2.7017826849582822</v>
      </c>
      <c r="F36">
        <f t="shared" si="1"/>
        <v>1.64371003676387</v>
      </c>
      <c r="G36">
        <f t="shared" si="1"/>
        <v>1.7962802257173831</v>
      </c>
      <c r="H36">
        <f t="shared" si="2"/>
        <v>0</v>
      </c>
      <c r="J36" s="1" t="s">
        <v>11</v>
      </c>
      <c r="K36">
        <f t="shared" si="3"/>
        <v>-0.35078840646077081</v>
      </c>
      <c r="L36">
        <f t="shared" si="4"/>
        <v>1.7281069885793967</v>
      </c>
      <c r="M36">
        <f t="shared" si="4"/>
        <v>3.7474417339659039</v>
      </c>
      <c r="N36">
        <f t="shared" si="4"/>
        <v>1.9358310189595334</v>
      </c>
      <c r="O36">
        <f t="shared" si="4"/>
        <v>2.1167876955975409</v>
      </c>
      <c r="P36">
        <f t="shared" si="5"/>
        <v>-2</v>
      </c>
      <c r="R36" s="1" t="s">
        <v>11</v>
      </c>
      <c r="S36">
        <f t="shared" si="6"/>
        <v>-0.27440294397202075</v>
      </c>
      <c r="T36">
        <f t="shared" si="7"/>
        <v>1.1295643800307154</v>
      </c>
      <c r="U36">
        <f t="shared" si="7"/>
        <v>1.4302327641286769</v>
      </c>
      <c r="V36">
        <f t="shared" si="7"/>
        <v>1.1959233939214824</v>
      </c>
      <c r="W36">
        <f t="shared" si="7"/>
        <v>1.307761445248439</v>
      </c>
      <c r="X36">
        <f t="shared" si="8"/>
        <v>0</v>
      </c>
    </row>
    <row r="37" spans="2:24" x14ac:dyDescent="0.35">
      <c r="B37" s="1" t="s">
        <v>12</v>
      </c>
      <c r="C37">
        <f t="shared" si="0"/>
        <v>-0.27493409970228777</v>
      </c>
      <c r="D37">
        <f t="shared" si="1"/>
        <v>1.3279423919849995</v>
      </c>
      <c r="E37">
        <f t="shared" si="1"/>
        <v>2.4149227905292139</v>
      </c>
      <c r="F37">
        <f t="shared" si="1"/>
        <v>1.5540021848534231</v>
      </c>
      <c r="G37">
        <f t="shared" si="1"/>
        <v>1.6316169628429744</v>
      </c>
      <c r="H37">
        <f t="shared" si="2"/>
        <v>0</v>
      </c>
      <c r="J37" s="9" t="s">
        <v>12</v>
      </c>
      <c r="K37">
        <f t="shared" si="3"/>
        <v>-0.2708758482071526</v>
      </c>
      <c r="L37">
        <f t="shared" si="4"/>
        <v>1.7380359498265512</v>
      </c>
      <c r="M37">
        <f t="shared" si="4"/>
        <v>3.5730335011049408</v>
      </c>
      <c r="N37">
        <f t="shared" si="4"/>
        <v>1.8902469418319243</v>
      </c>
      <c r="O37">
        <f t="shared" si="4"/>
        <v>1.987732912926073</v>
      </c>
      <c r="P37">
        <f t="shared" si="5"/>
        <v>-2</v>
      </c>
      <c r="R37" s="9" t="s">
        <v>12</v>
      </c>
      <c r="S37">
        <f t="shared" si="6"/>
        <v>-0.21419582022337497</v>
      </c>
      <c r="T37">
        <f t="shared" si="7"/>
        <v>1.068706870552979</v>
      </c>
      <c r="U37">
        <f t="shared" si="7"/>
        <v>1.2928440616469334</v>
      </c>
      <c r="V37">
        <f t="shared" si="7"/>
        <v>1.1370330081606836</v>
      </c>
      <c r="W37">
        <f t="shared" si="7"/>
        <v>1.1950991106882907</v>
      </c>
      <c r="X37">
        <f t="shared" si="8"/>
        <v>0</v>
      </c>
    </row>
  </sheetData>
  <conditionalFormatting sqref="C31:G37 S25:W28">
    <cfRule type="cellIs" dxfId="159" priority="12" operator="greaterThan">
      <formula>0</formula>
    </cfRule>
  </conditionalFormatting>
  <conditionalFormatting sqref="D31:G37">
    <cfRule type="cellIs" dxfId="158" priority="9" operator="lessThan">
      <formula>1</formula>
    </cfRule>
    <cfRule type="cellIs" dxfId="157" priority="10" operator="greaterThan">
      <formula>1</formula>
    </cfRule>
  </conditionalFormatting>
  <conditionalFormatting sqref="K31:O37">
    <cfRule type="cellIs" dxfId="156" priority="7" operator="lessThan">
      <formula>0</formula>
    </cfRule>
    <cfRule type="cellIs" dxfId="155" priority="8" operator="greaterThan">
      <formula>0</formula>
    </cfRule>
  </conditionalFormatting>
  <conditionalFormatting sqref="L31:O37">
    <cfRule type="cellIs" dxfId="154" priority="5" operator="lessThan">
      <formula>1</formula>
    </cfRule>
    <cfRule type="cellIs" dxfId="153" priority="6" operator="greaterThan">
      <formula>1</formula>
    </cfRule>
  </conditionalFormatting>
  <conditionalFormatting sqref="S25:W28 C31:G37">
    <cfRule type="cellIs" dxfId="152" priority="11" operator="lessThan">
      <formula>0</formula>
    </cfRule>
  </conditionalFormatting>
  <conditionalFormatting sqref="S31:W37">
    <cfRule type="cellIs" dxfId="151" priority="3" operator="lessThan">
      <formula>0</formula>
    </cfRule>
    <cfRule type="cellIs" dxfId="150" priority="4" operator="greaterThan">
      <formula>0</formula>
    </cfRule>
  </conditionalFormatting>
  <conditionalFormatting sqref="T31:W37">
    <cfRule type="cellIs" dxfId="149" priority="1" operator="lessThan">
      <formula>1</formula>
    </cfRule>
    <cfRule type="cellIs" dxfId="148" priority="2" operator="greaterThan">
      <formula>1</formula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DA7B0-F948-4EAD-A07B-76AE2D5A7E14}">
  <dimension ref="B2:X68"/>
  <sheetViews>
    <sheetView zoomScale="70" zoomScaleNormal="100" workbookViewId="0">
      <selection activeCell="J77" sqref="J77"/>
    </sheetView>
  </sheetViews>
  <sheetFormatPr baseColWidth="10" defaultRowHeight="14.5" x14ac:dyDescent="0.35"/>
  <cols>
    <col min="1" max="1" width="5.81640625" customWidth="1"/>
    <col min="2" max="2" width="23.7265625" customWidth="1"/>
    <col min="10" max="10" width="24.81640625" customWidth="1"/>
    <col min="18" max="18" width="24.26953125" customWidth="1"/>
  </cols>
  <sheetData>
    <row r="2" spans="2:24" x14ac:dyDescent="0.35">
      <c r="B2" s="17" t="s">
        <v>42</v>
      </c>
    </row>
    <row r="3" spans="2:24" x14ac:dyDescent="0.35">
      <c r="B3" s="4" t="s">
        <v>18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spans="2:24" x14ac:dyDescent="0.35">
      <c r="B4" s="1" t="s">
        <v>6</v>
      </c>
      <c r="C4">
        <v>-0.1768982652262758</v>
      </c>
      <c r="D4">
        <v>0.67954435429602733</v>
      </c>
      <c r="E4">
        <v>1.127648372139759</v>
      </c>
      <c r="F4">
        <v>1.0619078924933929</v>
      </c>
      <c r="G4">
        <v>1.0717102102490479</v>
      </c>
      <c r="H4">
        <v>22</v>
      </c>
    </row>
    <row r="5" spans="2:24" x14ac:dyDescent="0.35">
      <c r="B5" s="1" t="s">
        <v>7</v>
      </c>
      <c r="C5">
        <v>0.63857292395119114</v>
      </c>
      <c r="D5">
        <v>0.91144138586176482</v>
      </c>
      <c r="E5">
        <v>2.040117013382039</v>
      </c>
      <c r="F5">
        <v>1.428326647998293</v>
      </c>
      <c r="G5">
        <v>1.3091824608844209</v>
      </c>
      <c r="H5">
        <v>21</v>
      </c>
    </row>
    <row r="9" spans="2:24" x14ac:dyDescent="0.35">
      <c r="B9" s="17" t="s">
        <v>43</v>
      </c>
    </row>
    <row r="10" spans="2:24" ht="29" x14ac:dyDescent="0.35">
      <c r="B10" s="6" t="s">
        <v>17</v>
      </c>
      <c r="C10" s="7" t="s">
        <v>0</v>
      </c>
      <c r="D10" s="7" t="s">
        <v>1</v>
      </c>
      <c r="E10" s="7" t="s">
        <v>2</v>
      </c>
      <c r="F10" s="7" t="s">
        <v>3</v>
      </c>
      <c r="G10" s="7" t="s">
        <v>4</v>
      </c>
      <c r="H10" s="7" t="s">
        <v>5</v>
      </c>
      <c r="J10" s="6" t="s">
        <v>21</v>
      </c>
      <c r="K10" s="1" t="s">
        <v>0</v>
      </c>
      <c r="L10" s="1" t="s">
        <v>1</v>
      </c>
      <c r="M10" s="1" t="s">
        <v>2</v>
      </c>
      <c r="N10" s="1" t="s">
        <v>3</v>
      </c>
      <c r="O10" s="1" t="s">
        <v>4</v>
      </c>
      <c r="P10" s="1" t="s">
        <v>5</v>
      </c>
      <c r="R10" s="6" t="s">
        <v>19</v>
      </c>
      <c r="S10" s="7" t="s">
        <v>0</v>
      </c>
      <c r="T10" s="7" t="s">
        <v>1</v>
      </c>
      <c r="U10" s="7" t="s">
        <v>2</v>
      </c>
      <c r="V10" s="7" t="s">
        <v>3</v>
      </c>
      <c r="W10" s="7" t="s">
        <v>4</v>
      </c>
      <c r="X10" s="7" t="s">
        <v>5</v>
      </c>
    </row>
    <row r="11" spans="2:24" x14ac:dyDescent="0.35">
      <c r="B11" s="1" t="s">
        <v>16</v>
      </c>
      <c r="C11">
        <v>-5.8805478380157927E-2</v>
      </c>
      <c r="D11">
        <v>0.67492902905494379</v>
      </c>
      <c r="E11">
        <v>1.036571427464883</v>
      </c>
      <c r="F11">
        <v>1.0181215190068831</v>
      </c>
      <c r="G11">
        <v>1.0403409136730131</v>
      </c>
      <c r="H11">
        <v>22</v>
      </c>
      <c r="J11" s="1" t="s">
        <v>16</v>
      </c>
      <c r="K11">
        <v>2.3016374999999999E-2</v>
      </c>
      <c r="L11">
        <v>1.4534838059999999</v>
      </c>
      <c r="M11">
        <v>6.4599784710000003</v>
      </c>
      <c r="N11">
        <v>2.5416487700000001</v>
      </c>
      <c r="O11">
        <v>2.6043081909999999</v>
      </c>
      <c r="P11">
        <v>21</v>
      </c>
      <c r="R11" s="1" t="s">
        <v>16</v>
      </c>
      <c r="S11">
        <v>1.636035618807323E-2</v>
      </c>
      <c r="T11">
        <v>0.75423813843194754</v>
      </c>
      <c r="U11">
        <v>1.208071944140944</v>
      </c>
      <c r="V11">
        <v>1.099123261577583</v>
      </c>
      <c r="W11">
        <v>1.1114199837256249</v>
      </c>
      <c r="X11">
        <v>45</v>
      </c>
    </row>
    <row r="12" spans="2:24" x14ac:dyDescent="0.35">
      <c r="B12" s="1" t="s">
        <v>6</v>
      </c>
      <c r="C12">
        <v>0.10870122105288541</v>
      </c>
      <c r="D12">
        <v>0.91804927732978348</v>
      </c>
      <c r="E12">
        <v>1.4696779347802551</v>
      </c>
      <c r="F12">
        <v>1.2123027405645239</v>
      </c>
      <c r="G12">
        <v>1.2358333133304</v>
      </c>
      <c r="H12">
        <v>22</v>
      </c>
      <c r="R12" s="1" t="s">
        <v>6</v>
      </c>
      <c r="S12">
        <v>0.1050767557480483</v>
      </c>
      <c r="T12">
        <v>1.1719144532521399</v>
      </c>
      <c r="U12">
        <v>3.506314857596029</v>
      </c>
      <c r="V12">
        <v>1.8725156494929569</v>
      </c>
      <c r="W12">
        <v>1.876375943129116</v>
      </c>
      <c r="X12">
        <v>138</v>
      </c>
    </row>
    <row r="13" spans="2:24" x14ac:dyDescent="0.35">
      <c r="B13" s="1" t="s">
        <v>7</v>
      </c>
      <c r="C13">
        <v>9.4241363538973763E-2</v>
      </c>
      <c r="D13">
        <v>1.505548170551489</v>
      </c>
      <c r="E13">
        <v>10.112760140863561</v>
      </c>
      <c r="F13">
        <v>3.180056625417786</v>
      </c>
      <c r="G13">
        <v>3.257157141062581</v>
      </c>
      <c r="H13">
        <v>21</v>
      </c>
      <c r="R13" s="1" t="s">
        <v>7</v>
      </c>
      <c r="S13">
        <v>0.17308769803249341</v>
      </c>
      <c r="T13">
        <v>1.3264431791053171</v>
      </c>
      <c r="U13">
        <v>7.8735929385555998</v>
      </c>
      <c r="V13">
        <v>2.8059923268882261</v>
      </c>
      <c r="W13">
        <v>2.8221100037568658</v>
      </c>
      <c r="X13">
        <v>66</v>
      </c>
    </row>
    <row r="14" spans="2:24" x14ac:dyDescent="0.35">
      <c r="B14" s="5"/>
      <c r="R14" s="5"/>
    </row>
    <row r="15" spans="2:24" x14ac:dyDescent="0.35">
      <c r="B15" s="5"/>
      <c r="R15" s="5"/>
    </row>
    <row r="18" spans="2:24" x14ac:dyDescent="0.35">
      <c r="B18" s="13" t="s">
        <v>22</v>
      </c>
      <c r="D18" t="s">
        <v>47</v>
      </c>
      <c r="J18" s="13" t="s">
        <v>24</v>
      </c>
      <c r="L18" t="s">
        <v>47</v>
      </c>
      <c r="R18" s="2" t="s">
        <v>23</v>
      </c>
      <c r="T18" t="s">
        <v>47</v>
      </c>
    </row>
    <row r="19" spans="2:24" x14ac:dyDescent="0.35">
      <c r="C19" s="1" t="s">
        <v>0</v>
      </c>
      <c r="D19" s="1" t="s">
        <v>1</v>
      </c>
      <c r="E19" s="1" t="s">
        <v>2</v>
      </c>
      <c r="F19" s="1" t="s">
        <v>3</v>
      </c>
      <c r="G19" s="1" t="s">
        <v>4</v>
      </c>
      <c r="H19" s="1" t="s">
        <v>5</v>
      </c>
      <c r="K19" s="1" t="s">
        <v>0</v>
      </c>
      <c r="L19" s="1" t="s">
        <v>1</v>
      </c>
      <c r="M19" s="1" t="s">
        <v>2</v>
      </c>
      <c r="N19" s="1" t="s">
        <v>3</v>
      </c>
      <c r="O19" s="1" t="s">
        <v>4</v>
      </c>
      <c r="P19" s="1" t="s">
        <v>5</v>
      </c>
      <c r="S19" s="1" t="s">
        <v>0</v>
      </c>
      <c r="T19" s="1" t="s">
        <v>1</v>
      </c>
      <c r="U19" s="1" t="s">
        <v>2</v>
      </c>
      <c r="V19" s="1" t="s">
        <v>3</v>
      </c>
      <c r="W19" s="1" t="s">
        <v>4</v>
      </c>
      <c r="X19" s="1" t="s">
        <v>5</v>
      </c>
    </row>
    <row r="20" spans="2:24" x14ac:dyDescent="0.35">
      <c r="B20" s="1" t="s">
        <v>6</v>
      </c>
      <c r="C20">
        <f>C12-C4</f>
        <v>0.28559948627916121</v>
      </c>
      <c r="D20">
        <f>D4/D12</f>
        <v>0.74020466120569695</v>
      </c>
      <c r="E20">
        <f t="shared" ref="D20:G21" si="0">E4/E12</f>
        <v>0.767275840137291</v>
      </c>
      <c r="F20">
        <f>F4/F12</f>
        <v>0.87594282926301248</v>
      </c>
      <c r="G20">
        <f t="shared" si="0"/>
        <v>0.867196408034136</v>
      </c>
      <c r="H20">
        <f>H12-H4</f>
        <v>0</v>
      </c>
      <c r="J20" s="9" t="s">
        <v>25</v>
      </c>
      <c r="K20">
        <f>C4-K11</f>
        <v>-0.19991464022627581</v>
      </c>
      <c r="L20">
        <f>D4/L11</f>
        <v>0.46752798448173927</v>
      </c>
      <c r="M20">
        <f>E4/M11</f>
        <v>0.17455915328541333</v>
      </c>
      <c r="N20">
        <f>F4/N11</f>
        <v>0.41780276843420533</v>
      </c>
      <c r="O20">
        <f>G4/O11</f>
        <v>0.41151435684635068</v>
      </c>
      <c r="P20">
        <f>H4-P11</f>
        <v>1</v>
      </c>
      <c r="R20" s="1" t="s">
        <v>6</v>
      </c>
      <c r="S20">
        <f>S12-C4</f>
        <v>0.28197502097432409</v>
      </c>
      <c r="T20">
        <f>D4/T12</f>
        <v>0.57985832703935591</v>
      </c>
      <c r="U20">
        <f t="shared" ref="T20:W21" si="1">E4/U12</f>
        <v>0.32160499496981515</v>
      </c>
      <c r="V20">
        <f t="shared" si="1"/>
        <v>0.56710227910828848</v>
      </c>
      <c r="W20">
        <f t="shared" si="1"/>
        <v>0.57115964110146455</v>
      </c>
      <c r="X20">
        <f>X12-H4</f>
        <v>116</v>
      </c>
    </row>
    <row r="21" spans="2:24" x14ac:dyDescent="0.35">
      <c r="B21" s="1" t="s">
        <v>7</v>
      </c>
      <c r="C21">
        <f>C13-C5</f>
        <v>-0.54433156041221742</v>
      </c>
      <c r="D21">
        <f t="shared" si="0"/>
        <v>0.60538839187583071</v>
      </c>
      <c r="E21">
        <f t="shared" si="0"/>
        <v>0.20173691306474781</v>
      </c>
      <c r="F21">
        <f t="shared" si="0"/>
        <v>0.44915132535120939</v>
      </c>
      <c r="G21">
        <f t="shared" si="0"/>
        <v>0.40194022093061399</v>
      </c>
      <c r="H21">
        <f>H13-H5</f>
        <v>0</v>
      </c>
      <c r="J21" s="12"/>
      <c r="R21" s="1" t="s">
        <v>7</v>
      </c>
      <c r="S21">
        <f>S13-C5</f>
        <v>-0.46548522591869773</v>
      </c>
      <c r="T21">
        <f t="shared" si="1"/>
        <v>0.68713187283041399</v>
      </c>
      <c r="U21">
        <f t="shared" si="1"/>
        <v>0.25910877401242638</v>
      </c>
      <c r="V21">
        <f t="shared" si="1"/>
        <v>0.50902728218871174</v>
      </c>
      <c r="W21">
        <f t="shared" si="1"/>
        <v>0.4639019950113934</v>
      </c>
      <c r="X21">
        <f>X13-H5</f>
        <v>45</v>
      </c>
    </row>
    <row r="22" spans="2:24" x14ac:dyDescent="0.35">
      <c r="J22" s="5"/>
    </row>
    <row r="30" spans="2:24" x14ac:dyDescent="0.35">
      <c r="B30" s="10" t="s">
        <v>32</v>
      </c>
      <c r="C30" s="1" t="s">
        <v>0</v>
      </c>
      <c r="D30" s="1" t="s">
        <v>1</v>
      </c>
      <c r="E30" s="1" t="s">
        <v>2</v>
      </c>
      <c r="F30" s="1" t="s">
        <v>3</v>
      </c>
      <c r="G30" s="1" t="s">
        <v>4</v>
      </c>
      <c r="H30" s="1" t="s">
        <v>5</v>
      </c>
    </row>
    <row r="31" spans="2:24" x14ac:dyDescent="0.35">
      <c r="B31" s="1" t="s">
        <v>6</v>
      </c>
      <c r="C31">
        <v>-0.1243020608379911</v>
      </c>
      <c r="D31">
        <v>2.1315889380504238</v>
      </c>
      <c r="E31">
        <v>21.225600833349141</v>
      </c>
      <c r="F31">
        <v>4.6071250073499348</v>
      </c>
      <c r="G31">
        <v>4.7138261493007008</v>
      </c>
      <c r="H31">
        <v>22</v>
      </c>
    </row>
    <row r="32" spans="2:24" x14ac:dyDescent="0.35">
      <c r="B32" s="1" t="s">
        <v>7</v>
      </c>
      <c r="C32">
        <v>-0.24648567523113599</v>
      </c>
      <c r="D32">
        <v>2.3453737739452079</v>
      </c>
      <c r="E32">
        <v>19.33065173826034</v>
      </c>
      <c r="F32">
        <v>4.3966637053862039</v>
      </c>
      <c r="G32">
        <v>4.4981542189741006</v>
      </c>
      <c r="H32">
        <v>21</v>
      </c>
    </row>
    <row r="36" spans="2:24" x14ac:dyDescent="0.35">
      <c r="B36" s="13" t="s">
        <v>44</v>
      </c>
      <c r="D36" t="s">
        <v>47</v>
      </c>
      <c r="J36" s="13" t="s">
        <v>48</v>
      </c>
      <c r="R36" s="13" t="s">
        <v>49</v>
      </c>
    </row>
    <row r="37" spans="2:24" x14ac:dyDescent="0.35">
      <c r="C37" s="1" t="s">
        <v>0</v>
      </c>
      <c r="D37" s="1" t="s">
        <v>1</v>
      </c>
      <c r="E37" s="1" t="s">
        <v>2</v>
      </c>
      <c r="F37" s="1" t="s">
        <v>3</v>
      </c>
      <c r="G37" s="1" t="s">
        <v>4</v>
      </c>
      <c r="H37" s="1" t="s">
        <v>5</v>
      </c>
      <c r="K37" s="1" t="s">
        <v>0</v>
      </c>
      <c r="L37" s="1" t="s">
        <v>1</v>
      </c>
      <c r="M37" s="1" t="s">
        <v>2</v>
      </c>
      <c r="N37" s="1" t="s">
        <v>3</v>
      </c>
      <c r="O37" s="1" t="s">
        <v>4</v>
      </c>
      <c r="P37" s="1" t="s">
        <v>5</v>
      </c>
      <c r="S37" s="1" t="s">
        <v>0</v>
      </c>
      <c r="T37" s="1" t="s">
        <v>1</v>
      </c>
      <c r="U37" s="1" t="s">
        <v>2</v>
      </c>
      <c r="V37" s="1" t="s">
        <v>3</v>
      </c>
      <c r="W37" s="1" t="s">
        <v>4</v>
      </c>
      <c r="X37" s="1" t="s">
        <v>5</v>
      </c>
    </row>
    <row r="38" spans="2:24" x14ac:dyDescent="0.35">
      <c r="B38" s="1" t="s">
        <v>6</v>
      </c>
      <c r="C38">
        <f>C12-C31</f>
        <v>0.23300328189087649</v>
      </c>
      <c r="D38">
        <f>D31/D12</f>
        <v>2.3218676716900353</v>
      </c>
      <c r="E38">
        <f t="shared" ref="E38:G38" si="2">E31/E12</f>
        <v>14.442348443179677</v>
      </c>
      <c r="F38">
        <f t="shared" si="2"/>
        <v>3.8003089931188057</v>
      </c>
      <c r="G38">
        <f t="shared" si="2"/>
        <v>3.8142895958983258</v>
      </c>
      <c r="H38">
        <f>H12-H31</f>
        <v>0</v>
      </c>
      <c r="J38" s="9" t="s">
        <v>25</v>
      </c>
      <c r="K38">
        <f>C31-K11</f>
        <v>-0.14731843583799109</v>
      </c>
      <c r="L38">
        <f>D31/L11</f>
        <v>1.4665377964661162</v>
      </c>
      <c r="M38">
        <f t="shared" ref="M38:O38" si="3">E31/M11</f>
        <v>3.2857076735835364</v>
      </c>
      <c r="N38">
        <f t="shared" si="3"/>
        <v>1.81265211060218</v>
      </c>
      <c r="O38">
        <f t="shared" si="3"/>
        <v>1.8100108756677873</v>
      </c>
      <c r="R38" s="9" t="s">
        <v>25</v>
      </c>
      <c r="S38">
        <f>C31-S12</f>
        <v>-0.2293788165860394</v>
      </c>
      <c r="T38">
        <f>D31/T12</f>
        <v>1.818894657485556</v>
      </c>
      <c r="U38">
        <f t="shared" ref="U38:W38" si="4">E31/U12</f>
        <v>6.0535353199574509</v>
      </c>
      <c r="V38">
        <f t="shared" si="4"/>
        <v>2.4603933262707098</v>
      </c>
      <c r="W38">
        <f t="shared" si="4"/>
        <v>2.5121970714673227</v>
      </c>
    </row>
    <row r="39" spans="2:24" x14ac:dyDescent="0.35">
      <c r="B39" s="1" t="s">
        <v>7</v>
      </c>
      <c r="C39">
        <f>C13-C32</f>
        <v>0.34072703877010974</v>
      </c>
      <c r="D39">
        <f>D32/D13</f>
        <v>1.5578204801551363</v>
      </c>
      <c r="E39">
        <f t="shared" ref="E39:G39" si="5">E32/E13</f>
        <v>1.9115109494339924</v>
      </c>
      <c r="F39">
        <f t="shared" si="5"/>
        <v>1.382574030362929</v>
      </c>
      <c r="G39">
        <f t="shared" si="5"/>
        <v>1.3810062039274744</v>
      </c>
      <c r="H39">
        <f>H13-H32</f>
        <v>0</v>
      </c>
    </row>
    <row r="45" spans="2:24" x14ac:dyDescent="0.35">
      <c r="B45" s="11" t="s">
        <v>33</v>
      </c>
      <c r="C45" s="1" t="s">
        <v>0</v>
      </c>
      <c r="D45" s="1" t="s">
        <v>1</v>
      </c>
      <c r="E45" s="1" t="s">
        <v>2</v>
      </c>
      <c r="F45" s="1" t="s">
        <v>3</v>
      </c>
      <c r="G45" s="1" t="s">
        <v>4</v>
      </c>
      <c r="H45" s="1" t="s">
        <v>5</v>
      </c>
    </row>
    <row r="46" spans="2:24" x14ac:dyDescent="0.35">
      <c r="B46" s="1" t="s">
        <v>6</v>
      </c>
      <c r="C46">
        <v>-1.064165722506156E-2</v>
      </c>
      <c r="D46">
        <v>1.4457030009673</v>
      </c>
      <c r="E46">
        <v>8.7576619469365227</v>
      </c>
      <c r="F46">
        <v>2.9593347135693389</v>
      </c>
      <c r="G46">
        <v>3.028956062860261</v>
      </c>
      <c r="H46">
        <v>22</v>
      </c>
    </row>
    <row r="47" spans="2:24" x14ac:dyDescent="0.35">
      <c r="B47" s="1" t="s">
        <v>7</v>
      </c>
      <c r="C47">
        <v>-0.1057000273176439</v>
      </c>
      <c r="D47">
        <v>1.429381664828222</v>
      </c>
      <c r="E47">
        <v>8.348262251371553</v>
      </c>
      <c r="F47">
        <v>2.8893359533587559</v>
      </c>
      <c r="G47">
        <v>2.9587065152489238</v>
      </c>
      <c r="H47">
        <v>21</v>
      </c>
    </row>
    <row r="51" spans="2:24" x14ac:dyDescent="0.35">
      <c r="B51" s="13" t="s">
        <v>45</v>
      </c>
      <c r="D51" t="s">
        <v>47</v>
      </c>
      <c r="J51" s="13" t="s">
        <v>50</v>
      </c>
      <c r="R51" s="13" t="s">
        <v>51</v>
      </c>
    </row>
    <row r="52" spans="2:24" x14ac:dyDescent="0.35">
      <c r="C52" s="1" t="s">
        <v>0</v>
      </c>
      <c r="D52" s="1" t="s">
        <v>1</v>
      </c>
      <c r="E52" s="1" t="s">
        <v>2</v>
      </c>
      <c r="F52" s="1" t="s">
        <v>3</v>
      </c>
      <c r="G52" s="1" t="s">
        <v>4</v>
      </c>
      <c r="H52" s="1" t="s">
        <v>5</v>
      </c>
      <c r="K52" s="1" t="s">
        <v>0</v>
      </c>
      <c r="L52" s="1" t="s">
        <v>1</v>
      </c>
      <c r="M52" s="1" t="s">
        <v>2</v>
      </c>
      <c r="N52" s="1" t="s">
        <v>3</v>
      </c>
      <c r="O52" s="1" t="s">
        <v>4</v>
      </c>
      <c r="P52" s="1" t="s">
        <v>5</v>
      </c>
      <c r="S52" s="1" t="s">
        <v>0</v>
      </c>
      <c r="T52" s="1" t="s">
        <v>1</v>
      </c>
      <c r="U52" s="1" t="s">
        <v>2</v>
      </c>
      <c r="V52" s="1" t="s">
        <v>3</v>
      </c>
      <c r="W52" s="1" t="s">
        <v>4</v>
      </c>
      <c r="X52" s="1" t="s">
        <v>5</v>
      </c>
    </row>
    <row r="53" spans="2:24" x14ac:dyDescent="0.35">
      <c r="B53" s="1" t="s">
        <v>6</v>
      </c>
      <c r="C53">
        <f>C12-C46</f>
        <v>0.11934287827794697</v>
      </c>
      <c r="D53">
        <f>D46/D12</f>
        <v>1.5747553390295537</v>
      </c>
      <c r="E53">
        <f t="shared" ref="E53:G54" si="6">E46/E12</f>
        <v>5.9588987081349627</v>
      </c>
      <c r="F53">
        <f t="shared" si="6"/>
        <v>2.4410855593638994</v>
      </c>
      <c r="G53">
        <f t="shared" si="6"/>
        <v>2.450942234837191</v>
      </c>
      <c r="H53">
        <f>H12-H46</f>
        <v>0</v>
      </c>
      <c r="J53" s="9" t="s">
        <v>25</v>
      </c>
      <c r="K53">
        <f>C46-K20</f>
        <v>0.18927298300121426</v>
      </c>
      <c r="L53">
        <f>D46/L11</f>
        <v>0.99464678932054096</v>
      </c>
      <c r="M53">
        <f t="shared" ref="M53:O53" si="7">E46/M11</f>
        <v>1.3556797420070725</v>
      </c>
      <c r="N53">
        <f t="shared" si="7"/>
        <v>1.164336610352869</v>
      </c>
      <c r="O53">
        <f t="shared" si="7"/>
        <v>1.1630559214641971</v>
      </c>
      <c r="R53" s="9" t="s">
        <v>25</v>
      </c>
      <c r="S53">
        <f>C46-S20</f>
        <v>-0.29261667819938564</v>
      </c>
      <c r="T53">
        <f>D46/T12</f>
        <v>1.2336250286489587</v>
      </c>
      <c r="U53">
        <f t="shared" ref="U53:W53" si="8">E46/U12</f>
        <v>2.4976826961115748</v>
      </c>
      <c r="V53">
        <f t="shared" si="8"/>
        <v>1.5804058643625609</v>
      </c>
      <c r="W53">
        <f t="shared" si="8"/>
        <v>1.6142586318864536</v>
      </c>
    </row>
    <row r="54" spans="2:24" x14ac:dyDescent="0.35">
      <c r="B54" s="1" t="s">
        <v>7</v>
      </c>
      <c r="C54">
        <f>C13-C47</f>
        <v>0.19994139085661766</v>
      </c>
      <c r="D54">
        <f>D47/D13</f>
        <v>0.94940945284044487</v>
      </c>
      <c r="E54">
        <f t="shared" si="6"/>
        <v>0.82551767619187977</v>
      </c>
      <c r="F54">
        <f t="shared" si="6"/>
        <v>0.90858003290402534</v>
      </c>
      <c r="G54">
        <f t="shared" si="6"/>
        <v>0.90837082373118361</v>
      </c>
      <c r="H54">
        <f>H13-H47</f>
        <v>0</v>
      </c>
    </row>
    <row r="59" spans="2:24" x14ac:dyDescent="0.35">
      <c r="B59" s="11" t="s">
        <v>26</v>
      </c>
      <c r="C59" s="1" t="s">
        <v>0</v>
      </c>
      <c r="D59" s="1" t="s">
        <v>1</v>
      </c>
      <c r="E59" s="1" t="s">
        <v>2</v>
      </c>
      <c r="F59" s="1" t="s">
        <v>3</v>
      </c>
      <c r="G59" s="1" t="s">
        <v>4</v>
      </c>
      <c r="H59" s="1" t="s">
        <v>5</v>
      </c>
    </row>
    <row r="60" spans="2:24" x14ac:dyDescent="0.35">
      <c r="B60" s="1" t="s">
        <v>6</v>
      </c>
      <c r="C60">
        <v>-0.27313981100050522</v>
      </c>
      <c r="D60">
        <v>1.9549044955106869</v>
      </c>
      <c r="E60">
        <v>16.736975424616801</v>
      </c>
      <c r="F60">
        <v>4.0910848713534156</v>
      </c>
      <c r="G60">
        <v>4.1780158283556368</v>
      </c>
      <c r="H60">
        <v>22</v>
      </c>
    </row>
    <row r="61" spans="2:24" x14ac:dyDescent="0.35">
      <c r="B61" s="1" t="s">
        <v>7</v>
      </c>
      <c r="C61">
        <v>-1.488157163777362E-2</v>
      </c>
      <c r="D61">
        <v>1.7521555698556079</v>
      </c>
      <c r="E61">
        <v>10.88565705993317</v>
      </c>
      <c r="F61">
        <v>3.2993419131598301</v>
      </c>
      <c r="G61">
        <v>3.380785024028695</v>
      </c>
      <c r="H61">
        <v>21</v>
      </c>
    </row>
    <row r="65" spans="2:24" x14ac:dyDescent="0.35">
      <c r="B65" s="13" t="s">
        <v>46</v>
      </c>
      <c r="D65" t="s">
        <v>47</v>
      </c>
      <c r="J65" s="13" t="s">
        <v>52</v>
      </c>
      <c r="R65" s="13" t="s">
        <v>53</v>
      </c>
    </row>
    <row r="66" spans="2:24" x14ac:dyDescent="0.35">
      <c r="C66" s="1" t="s">
        <v>0</v>
      </c>
      <c r="D66" s="1" t="s">
        <v>1</v>
      </c>
      <c r="E66" s="1" t="s">
        <v>2</v>
      </c>
      <c r="F66" s="1" t="s">
        <v>3</v>
      </c>
      <c r="G66" s="1" t="s">
        <v>4</v>
      </c>
      <c r="H66" s="1" t="s">
        <v>5</v>
      </c>
      <c r="K66" s="1" t="s">
        <v>0</v>
      </c>
      <c r="L66" s="1" t="s">
        <v>1</v>
      </c>
      <c r="M66" s="1" t="s">
        <v>2</v>
      </c>
      <c r="N66" s="1" t="s">
        <v>3</v>
      </c>
      <c r="O66" s="1" t="s">
        <v>4</v>
      </c>
      <c r="P66" s="1" t="s">
        <v>5</v>
      </c>
      <c r="S66" s="1" t="s">
        <v>0</v>
      </c>
      <c r="T66" s="1" t="s">
        <v>1</v>
      </c>
      <c r="U66" s="1" t="s">
        <v>2</v>
      </c>
      <c r="V66" s="1" t="s">
        <v>3</v>
      </c>
      <c r="W66" s="1" t="s">
        <v>4</v>
      </c>
      <c r="X66" s="1" t="s">
        <v>5</v>
      </c>
    </row>
    <row r="67" spans="2:24" x14ac:dyDescent="0.35">
      <c r="B67" s="1" t="s">
        <v>6</v>
      </c>
      <c r="C67">
        <f>C12-C60</f>
        <v>0.38184103205339059</v>
      </c>
      <c r="D67">
        <f>D60/D12</f>
        <v>2.1294112895515545</v>
      </c>
      <c r="E67">
        <f t="shared" ref="E67:G68" si="9">E60/E12</f>
        <v>11.388192629509199</v>
      </c>
      <c r="F67">
        <f t="shared" si="9"/>
        <v>3.3746396295766443</v>
      </c>
      <c r="G67">
        <f t="shared" si="9"/>
        <v>3.3807276299232147</v>
      </c>
      <c r="H67">
        <f>H12-H60</f>
        <v>0</v>
      </c>
      <c r="J67" s="9" t="s">
        <v>25</v>
      </c>
      <c r="K67">
        <f>K20-C60</f>
        <v>7.3225170774229409E-2</v>
      </c>
      <c r="L67">
        <f>D60/L11</f>
        <v>1.3449785181237079</v>
      </c>
      <c r="M67">
        <f t="shared" ref="M67:O67" si="10">E60/M11</f>
        <v>2.5908717033271982</v>
      </c>
      <c r="N67">
        <f t="shared" si="10"/>
        <v>1.6096184963248936</v>
      </c>
      <c r="O67">
        <f t="shared" si="10"/>
        <v>1.6042708934349916</v>
      </c>
      <c r="R67" s="9" t="s">
        <v>25</v>
      </c>
      <c r="S67">
        <f>S20-S60</f>
        <v>0.28197502097432409</v>
      </c>
      <c r="T67">
        <f>D60/T12</f>
        <v>1.6681290089781706</v>
      </c>
      <c r="U67">
        <f t="shared" ref="U67:W67" si="11">E60/U12</f>
        <v>4.7733806301958488</v>
      </c>
      <c r="V67">
        <f t="shared" si="11"/>
        <v>2.1848067718212163</v>
      </c>
      <c r="W67">
        <f t="shared" si="11"/>
        <v>2.2266411182975507</v>
      </c>
    </row>
    <row r="68" spans="2:24" x14ac:dyDescent="0.35">
      <c r="B68" s="1" t="s">
        <v>7</v>
      </c>
      <c r="C68">
        <f>C13-C61</f>
        <v>0.10912293517674738</v>
      </c>
      <c r="D68">
        <f>D61/D13</f>
        <v>1.1637990760626313</v>
      </c>
      <c r="E68">
        <f t="shared" si="9"/>
        <v>1.076427889943369</v>
      </c>
      <c r="F68">
        <f t="shared" si="9"/>
        <v>1.037510428835956</v>
      </c>
      <c r="G68">
        <f t="shared" si="9"/>
        <v>1.0379557625290941</v>
      </c>
      <c r="H68">
        <f>H13-H61</f>
        <v>0</v>
      </c>
    </row>
  </sheetData>
  <phoneticPr fontId="3" type="noConversion"/>
  <conditionalFormatting sqref="D20:G21">
    <cfRule type="cellIs" dxfId="147" priority="47" operator="lessThan">
      <formula>0</formula>
    </cfRule>
    <cfRule type="cellIs" dxfId="146" priority="46" operator="greaterThan">
      <formula>1</formula>
    </cfRule>
    <cfRule type="cellIs" dxfId="145" priority="45" operator="lessThan">
      <formula>1</formula>
    </cfRule>
    <cfRule type="cellIs" dxfId="144" priority="48" operator="greaterThan">
      <formula>0</formula>
    </cfRule>
  </conditionalFormatting>
  <conditionalFormatting sqref="D38:G39">
    <cfRule type="cellIs" dxfId="143" priority="42" operator="greaterThan">
      <formula>1</formula>
    </cfRule>
    <cfRule type="cellIs" dxfId="142" priority="44" operator="greaterThan">
      <formula>0</formula>
    </cfRule>
    <cfRule type="cellIs" dxfId="141" priority="43" operator="lessThan">
      <formula>0</formula>
    </cfRule>
    <cfRule type="cellIs" dxfId="140" priority="41" operator="lessThan">
      <formula>1</formula>
    </cfRule>
  </conditionalFormatting>
  <conditionalFormatting sqref="D53:G54">
    <cfRule type="cellIs" dxfId="139" priority="40" operator="greaterThan">
      <formula>0</formula>
    </cfRule>
    <cfRule type="cellIs" dxfId="138" priority="39" operator="lessThan">
      <formula>0</formula>
    </cfRule>
    <cfRule type="cellIs" dxfId="137" priority="38" operator="greaterThan">
      <formula>1</formula>
    </cfRule>
    <cfRule type="cellIs" dxfId="136" priority="37" operator="lessThan">
      <formula>1</formula>
    </cfRule>
  </conditionalFormatting>
  <conditionalFormatting sqref="D67:G68">
    <cfRule type="cellIs" dxfId="135" priority="36" operator="greaterThan">
      <formula>0</formula>
    </cfRule>
    <cfRule type="cellIs" dxfId="134" priority="35" operator="lessThan">
      <formula>0</formula>
    </cfRule>
    <cfRule type="cellIs" dxfId="133" priority="34" operator="greaterThan">
      <formula>1</formula>
    </cfRule>
    <cfRule type="cellIs" dxfId="132" priority="33" operator="lessThan">
      <formula>1</formula>
    </cfRule>
  </conditionalFormatting>
  <conditionalFormatting sqref="L20:O20">
    <cfRule type="cellIs" dxfId="131" priority="7" operator="lessThan">
      <formula>0</formula>
    </cfRule>
    <cfRule type="cellIs" dxfId="130" priority="5" operator="lessThan">
      <formula>1</formula>
    </cfRule>
    <cfRule type="cellIs" dxfId="129" priority="6" operator="greaterThan">
      <formula>1</formula>
    </cfRule>
    <cfRule type="cellIs" dxfId="128" priority="8" operator="greaterThan">
      <formula>0</formula>
    </cfRule>
  </conditionalFormatting>
  <conditionalFormatting sqref="L38:O38">
    <cfRule type="cellIs" dxfId="127" priority="31" operator="lessThan">
      <formula>0</formula>
    </cfRule>
    <cfRule type="cellIs" dxfId="126" priority="32" operator="greaterThan">
      <formula>0</formula>
    </cfRule>
    <cfRule type="cellIs" dxfId="125" priority="30" operator="greaterThan">
      <formula>1</formula>
    </cfRule>
    <cfRule type="cellIs" dxfId="124" priority="29" operator="lessThan">
      <formula>1</formula>
    </cfRule>
  </conditionalFormatting>
  <conditionalFormatting sqref="L53:O53">
    <cfRule type="cellIs" dxfId="123" priority="25" operator="lessThan">
      <formula>1</formula>
    </cfRule>
    <cfRule type="cellIs" dxfId="122" priority="26" operator="greaterThan">
      <formula>1</formula>
    </cfRule>
    <cfRule type="cellIs" dxfId="121" priority="27" operator="lessThan">
      <formula>0</formula>
    </cfRule>
    <cfRule type="cellIs" dxfId="120" priority="28" operator="greaterThan">
      <formula>0</formula>
    </cfRule>
  </conditionalFormatting>
  <conditionalFormatting sqref="L67:O67">
    <cfRule type="cellIs" dxfId="119" priority="24" operator="greaterThan">
      <formula>0</formula>
    </cfRule>
    <cfRule type="cellIs" dxfId="118" priority="23" operator="lessThan">
      <formula>0</formula>
    </cfRule>
    <cfRule type="cellIs" dxfId="117" priority="22" operator="greaterThan">
      <formula>1</formula>
    </cfRule>
    <cfRule type="cellIs" dxfId="116" priority="21" operator="lessThan">
      <formula>1</formula>
    </cfRule>
  </conditionalFormatting>
  <conditionalFormatting sqref="T20:W21">
    <cfRule type="cellIs" dxfId="115" priority="1" operator="lessThan">
      <formula>1</formula>
    </cfRule>
    <cfRule type="cellIs" dxfId="114" priority="4" operator="greaterThan">
      <formula>0</formula>
    </cfRule>
    <cfRule type="cellIs" dxfId="113" priority="3" operator="lessThan">
      <formula>0</formula>
    </cfRule>
    <cfRule type="cellIs" dxfId="112" priority="2" operator="greaterThan">
      <formula>1</formula>
    </cfRule>
  </conditionalFormatting>
  <conditionalFormatting sqref="T38:W38">
    <cfRule type="cellIs" dxfId="111" priority="12" operator="greaterThan">
      <formula>0</formula>
    </cfRule>
    <cfRule type="cellIs" dxfId="110" priority="11" operator="lessThan">
      <formula>0</formula>
    </cfRule>
    <cfRule type="cellIs" dxfId="109" priority="10" operator="greaterThan">
      <formula>1</formula>
    </cfRule>
    <cfRule type="cellIs" dxfId="108" priority="9" operator="lessThan">
      <formula>1</formula>
    </cfRule>
  </conditionalFormatting>
  <conditionalFormatting sqref="T53:W53">
    <cfRule type="cellIs" dxfId="107" priority="16" operator="greaterThan">
      <formula>0</formula>
    </cfRule>
    <cfRule type="cellIs" dxfId="106" priority="15" operator="lessThan">
      <formula>0</formula>
    </cfRule>
    <cfRule type="cellIs" dxfId="105" priority="14" operator="greaterThan">
      <formula>1</formula>
    </cfRule>
    <cfRule type="cellIs" dxfId="104" priority="13" operator="lessThan">
      <formula>1</formula>
    </cfRule>
  </conditionalFormatting>
  <conditionalFormatting sqref="T67:W67">
    <cfRule type="cellIs" dxfId="103" priority="19" operator="lessThan">
      <formula>0</formula>
    </cfRule>
    <cfRule type="cellIs" dxfId="102" priority="20" operator="greaterThan">
      <formula>0</formula>
    </cfRule>
    <cfRule type="cellIs" dxfId="101" priority="18" operator="greaterThan">
      <formula>1</formula>
    </cfRule>
    <cfRule type="cellIs" dxfId="100" priority="17" operator="lessThan">
      <formula>1</formula>
    </cfRule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EF3A5-5AFF-4B8D-BE99-DBDC3650088B}">
  <dimension ref="B2:X68"/>
  <sheetViews>
    <sheetView topLeftCell="A25" zoomScale="75" workbookViewId="0">
      <selection activeCell="L74" sqref="L74"/>
    </sheetView>
  </sheetViews>
  <sheetFormatPr baseColWidth="10" defaultRowHeight="14.5" x14ac:dyDescent="0.35"/>
  <sheetData>
    <row r="2" spans="2:24" x14ac:dyDescent="0.35">
      <c r="B2" s="17" t="s">
        <v>42</v>
      </c>
    </row>
    <row r="3" spans="2:24" x14ac:dyDescent="0.35">
      <c r="B3" s="4" t="s">
        <v>18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spans="2:24" x14ac:dyDescent="0.35">
      <c r="B4" s="1" t="s">
        <v>6</v>
      </c>
      <c r="C4">
        <v>2.2661938901248509E-2</v>
      </c>
      <c r="D4">
        <v>0.3550306575569982</v>
      </c>
      <c r="E4">
        <v>0.28330122605121161</v>
      </c>
      <c r="F4">
        <v>0.53226048702793227</v>
      </c>
      <c r="G4">
        <v>0.54719487475971262</v>
      </c>
      <c r="H4">
        <v>18</v>
      </c>
    </row>
    <row r="5" spans="2:24" x14ac:dyDescent="0.35">
      <c r="B5" s="1" t="s">
        <v>7</v>
      </c>
      <c r="C5">
        <v>0.46019064126603232</v>
      </c>
      <c r="D5">
        <v>0.58825948521042593</v>
      </c>
      <c r="E5">
        <v>0.93630250963915918</v>
      </c>
      <c r="F5">
        <v>0.96762725759414159</v>
      </c>
      <c r="G5">
        <v>0.8773881843508391</v>
      </c>
      <c r="H5">
        <v>17</v>
      </c>
    </row>
    <row r="9" spans="2:24" x14ac:dyDescent="0.35">
      <c r="B9" s="17" t="s">
        <v>43</v>
      </c>
    </row>
    <row r="10" spans="2:24" ht="72.5" x14ac:dyDescent="0.35">
      <c r="B10" s="6" t="s">
        <v>17</v>
      </c>
      <c r="C10" s="7" t="s">
        <v>0</v>
      </c>
      <c r="D10" s="7" t="s">
        <v>1</v>
      </c>
      <c r="E10" s="7" t="s">
        <v>2</v>
      </c>
      <c r="F10" s="7" t="s">
        <v>3</v>
      </c>
      <c r="G10" s="7" t="s">
        <v>4</v>
      </c>
      <c r="H10" s="7" t="s">
        <v>5</v>
      </c>
      <c r="J10" s="6" t="s">
        <v>21</v>
      </c>
      <c r="K10" s="1" t="s">
        <v>0</v>
      </c>
      <c r="L10" s="1" t="s">
        <v>1</v>
      </c>
      <c r="M10" s="1" t="s">
        <v>2</v>
      </c>
      <c r="N10" s="1" t="s">
        <v>3</v>
      </c>
      <c r="O10" s="1" t="s">
        <v>4</v>
      </c>
      <c r="P10" s="1" t="s">
        <v>5</v>
      </c>
      <c r="R10" s="6" t="s">
        <v>19</v>
      </c>
      <c r="S10" s="7" t="s">
        <v>0</v>
      </c>
      <c r="T10" s="7" t="s">
        <v>1</v>
      </c>
      <c r="U10" s="7" t="s">
        <v>2</v>
      </c>
      <c r="V10" s="7" t="s">
        <v>3</v>
      </c>
      <c r="W10" s="7" t="s">
        <v>4</v>
      </c>
      <c r="X10" s="7" t="s">
        <v>5</v>
      </c>
    </row>
    <row r="11" spans="2:24" x14ac:dyDescent="0.35">
      <c r="B11" s="1" t="s">
        <v>16</v>
      </c>
      <c r="C11">
        <v>-2.1270864414250371E-2</v>
      </c>
      <c r="D11">
        <v>0.46794623066002378</v>
      </c>
      <c r="E11">
        <v>0.40406898273092728</v>
      </c>
      <c r="F11">
        <v>0.6356642059538411</v>
      </c>
      <c r="G11">
        <v>0.65372676406998176</v>
      </c>
      <c r="H11">
        <v>18</v>
      </c>
      <c r="J11" s="1" t="s">
        <v>16</v>
      </c>
      <c r="K11">
        <v>0.104799777</v>
      </c>
      <c r="L11">
        <v>0.61723716500000003</v>
      </c>
      <c r="M11">
        <v>0.59976085000000001</v>
      </c>
      <c r="N11">
        <v>0.77444228299999995</v>
      </c>
      <c r="O11">
        <v>0.79093392500000004</v>
      </c>
      <c r="P11">
        <v>17</v>
      </c>
      <c r="R11" s="1" t="s">
        <v>16</v>
      </c>
      <c r="S11">
        <v>-7.3617767000000001E-2</v>
      </c>
      <c r="T11">
        <v>0.51552367399999999</v>
      </c>
      <c r="U11">
        <v>0.51035387499999996</v>
      </c>
      <c r="V11">
        <v>0.71439056199999995</v>
      </c>
      <c r="W11">
        <v>0.72012580299999995</v>
      </c>
      <c r="X11">
        <v>38</v>
      </c>
    </row>
    <row r="12" spans="2:24" x14ac:dyDescent="0.35">
      <c r="B12" s="1" t="s">
        <v>6</v>
      </c>
      <c r="C12">
        <v>-1.2417080951942929E-2</v>
      </c>
      <c r="D12">
        <v>0.59169698183964237</v>
      </c>
      <c r="E12">
        <v>0.57430089293918052</v>
      </c>
      <c r="F12">
        <v>0.75782642665664579</v>
      </c>
      <c r="G12">
        <v>0.77969227575094313</v>
      </c>
      <c r="H12">
        <v>18</v>
      </c>
      <c r="R12" s="1" t="s">
        <v>6</v>
      </c>
      <c r="S12">
        <v>0.15265483199999999</v>
      </c>
      <c r="T12">
        <v>0.71036585200000002</v>
      </c>
      <c r="U12">
        <v>0.85046765099999999</v>
      </c>
      <c r="V12">
        <v>0.92220802999999996</v>
      </c>
      <c r="W12">
        <v>0.91346591499999996</v>
      </c>
      <c r="X12">
        <v>115</v>
      </c>
    </row>
    <row r="13" spans="2:24" x14ac:dyDescent="0.35">
      <c r="B13" s="1" t="s">
        <v>7</v>
      </c>
      <c r="C13">
        <v>0.29108198487141879</v>
      </c>
      <c r="D13">
        <v>0.55323463952649021</v>
      </c>
      <c r="E13">
        <v>0.50854955930334256</v>
      </c>
      <c r="F13">
        <v>0.71312660818633222</v>
      </c>
      <c r="G13">
        <v>0.67105114538559851</v>
      </c>
      <c r="H13">
        <v>17</v>
      </c>
      <c r="R13" s="1" t="s">
        <v>7</v>
      </c>
      <c r="S13">
        <v>5.9882092999999997E-2</v>
      </c>
      <c r="T13">
        <v>0.56114089099999998</v>
      </c>
      <c r="U13">
        <v>0.46802616200000002</v>
      </c>
      <c r="V13">
        <v>0.68412437599999998</v>
      </c>
      <c r="W13">
        <v>0.68777979199999995</v>
      </c>
      <c r="X13">
        <v>55</v>
      </c>
    </row>
    <row r="14" spans="2:24" x14ac:dyDescent="0.35">
      <c r="B14" s="5"/>
      <c r="R14" s="5"/>
    </row>
    <row r="15" spans="2:24" x14ac:dyDescent="0.35">
      <c r="B15" s="5"/>
      <c r="R15" s="5"/>
    </row>
    <row r="18" spans="2:24" x14ac:dyDescent="0.35">
      <c r="B18" s="13" t="s">
        <v>22</v>
      </c>
      <c r="D18" t="s">
        <v>47</v>
      </c>
      <c r="J18" s="13" t="s">
        <v>24</v>
      </c>
      <c r="L18" t="s">
        <v>47</v>
      </c>
      <c r="R18" s="2" t="s">
        <v>23</v>
      </c>
      <c r="T18" t="s">
        <v>47</v>
      </c>
    </row>
    <row r="19" spans="2:24" x14ac:dyDescent="0.35">
      <c r="C19" s="1" t="s">
        <v>0</v>
      </c>
      <c r="D19" s="1" t="s">
        <v>1</v>
      </c>
      <c r="E19" s="1" t="s">
        <v>2</v>
      </c>
      <c r="F19" s="1" t="s">
        <v>3</v>
      </c>
      <c r="G19" s="1" t="s">
        <v>4</v>
      </c>
      <c r="H19" s="1" t="s">
        <v>5</v>
      </c>
      <c r="K19" s="1" t="s">
        <v>0</v>
      </c>
      <c r="L19" s="1" t="s">
        <v>1</v>
      </c>
      <c r="M19" s="1" t="s">
        <v>2</v>
      </c>
      <c r="N19" s="1" t="s">
        <v>3</v>
      </c>
      <c r="O19" s="1" t="s">
        <v>4</v>
      </c>
      <c r="P19" s="1" t="s">
        <v>5</v>
      </c>
      <c r="S19" s="1" t="s">
        <v>0</v>
      </c>
      <c r="T19" s="1" t="s">
        <v>1</v>
      </c>
      <c r="U19" s="1" t="s">
        <v>2</v>
      </c>
      <c r="V19" s="1" t="s">
        <v>3</v>
      </c>
      <c r="W19" s="1" t="s">
        <v>4</v>
      </c>
      <c r="X19" s="1" t="s">
        <v>5</v>
      </c>
    </row>
    <row r="20" spans="2:24" x14ac:dyDescent="0.35">
      <c r="B20" s="1" t="s">
        <v>6</v>
      </c>
      <c r="C20">
        <f>C12-C4</f>
        <v>-3.5079019853191437E-2</v>
      </c>
      <c r="D20">
        <f>D4/D12</f>
        <v>0.60002107236236701</v>
      </c>
      <c r="E20">
        <f t="shared" ref="D20:G21" si="0">E4/E12</f>
        <v>0.49329755452985813</v>
      </c>
      <c r="F20">
        <f>F4/F12</f>
        <v>0.702351446591988</v>
      </c>
      <c r="G20">
        <f t="shared" si="0"/>
        <v>0.70180876709685769</v>
      </c>
      <c r="H20">
        <f>H12-H4</f>
        <v>0</v>
      </c>
      <c r="J20" s="9" t="s">
        <v>25</v>
      </c>
      <c r="K20">
        <f>C4-K11</f>
        <v>-8.2137838098751484E-2</v>
      </c>
      <c r="L20">
        <f>D4/L11</f>
        <v>0.57519326069258669</v>
      </c>
      <c r="M20">
        <f>E4/M11</f>
        <v>0.47235698370644164</v>
      </c>
      <c r="N20">
        <f>F4/N11</f>
        <v>0.68728231749703195</v>
      </c>
      <c r="O20">
        <f>G4/O11</f>
        <v>0.69183386559087423</v>
      </c>
      <c r="P20">
        <f>H4-P11</f>
        <v>1</v>
      </c>
      <c r="R20" s="1" t="s">
        <v>6</v>
      </c>
      <c r="S20">
        <f>S12-C4</f>
        <v>0.12999289309875148</v>
      </c>
      <c r="T20">
        <f>D4/T12</f>
        <v>0.49978564785656138</v>
      </c>
      <c r="U20">
        <f t="shared" ref="T20:W21" si="1">E4/U12</f>
        <v>0.33311228912481189</v>
      </c>
      <c r="V20">
        <f t="shared" si="1"/>
        <v>0.57715880768022843</v>
      </c>
      <c r="W20">
        <f t="shared" si="1"/>
        <v>0.59903151915604058</v>
      </c>
      <c r="X20">
        <f>X12-H4</f>
        <v>97</v>
      </c>
    </row>
    <row r="21" spans="2:24" x14ac:dyDescent="0.35">
      <c r="B21" s="1" t="s">
        <v>7</v>
      </c>
      <c r="C21">
        <f>C13-C5</f>
        <v>-0.16910865639461353</v>
      </c>
      <c r="D21">
        <f t="shared" si="0"/>
        <v>1.0633092058622959</v>
      </c>
      <c r="E21">
        <f t="shared" si="0"/>
        <v>1.8411234313560148</v>
      </c>
      <c r="F21">
        <f t="shared" si="0"/>
        <v>1.3568800357275563</v>
      </c>
      <c r="G21">
        <f t="shared" si="0"/>
        <v>1.3074833272904638</v>
      </c>
      <c r="H21">
        <f>H13-H5</f>
        <v>0</v>
      </c>
      <c r="J21" s="12"/>
      <c r="R21" s="1" t="s">
        <v>7</v>
      </c>
      <c r="S21">
        <f>S13-C5</f>
        <v>-0.40030854826603235</v>
      </c>
      <c r="T21">
        <f t="shared" si="1"/>
        <v>1.0483276030055453</v>
      </c>
      <c r="U21">
        <f t="shared" si="1"/>
        <v>2.0005345548165301</v>
      </c>
      <c r="V21">
        <f t="shared" si="1"/>
        <v>1.4144025436598997</v>
      </c>
      <c r="W21">
        <f t="shared" si="1"/>
        <v>1.2756818309527174</v>
      </c>
      <c r="X21">
        <f>X13-H5</f>
        <v>38</v>
      </c>
    </row>
    <row r="22" spans="2:24" x14ac:dyDescent="0.35">
      <c r="J22" s="5"/>
    </row>
    <row r="30" spans="2:24" x14ac:dyDescent="0.35">
      <c r="B30" s="10" t="s">
        <v>32</v>
      </c>
      <c r="C30" s="1" t="s">
        <v>0</v>
      </c>
      <c r="D30" s="1" t="s">
        <v>1</v>
      </c>
      <c r="E30" s="1" t="s">
        <v>2</v>
      </c>
      <c r="F30" s="1" t="s">
        <v>3</v>
      </c>
      <c r="G30" s="1" t="s">
        <v>4</v>
      </c>
      <c r="H30" s="1" t="s">
        <v>5</v>
      </c>
    </row>
    <row r="31" spans="2:24" x14ac:dyDescent="0.35">
      <c r="B31" s="1" t="s">
        <v>6</v>
      </c>
      <c r="C31">
        <v>-3.2805739205040083E-2</v>
      </c>
      <c r="D31">
        <v>0.68356200096016972</v>
      </c>
      <c r="E31">
        <v>1.3701503586507839</v>
      </c>
      <c r="F31">
        <v>1.1705342193420849</v>
      </c>
      <c r="G31">
        <v>1.203996642517009</v>
      </c>
      <c r="H31">
        <v>18</v>
      </c>
    </row>
    <row r="32" spans="2:24" x14ac:dyDescent="0.35">
      <c r="B32" s="1" t="s">
        <v>7</v>
      </c>
      <c r="C32">
        <v>-9.5174065851476738E-2</v>
      </c>
      <c r="D32">
        <v>0.57048340406542863</v>
      </c>
      <c r="E32">
        <v>0.68167837245565155</v>
      </c>
      <c r="F32">
        <v>0.82563816073123186</v>
      </c>
      <c r="G32">
        <v>0.84537508627694935</v>
      </c>
      <c r="H32">
        <v>17</v>
      </c>
    </row>
    <row r="36" spans="2:24" x14ac:dyDescent="0.35">
      <c r="B36" s="13" t="s">
        <v>44</v>
      </c>
      <c r="D36" t="s">
        <v>47</v>
      </c>
      <c r="J36" s="13" t="s">
        <v>48</v>
      </c>
      <c r="R36" s="13" t="s">
        <v>49</v>
      </c>
    </row>
    <row r="37" spans="2:24" x14ac:dyDescent="0.35">
      <c r="C37" s="1" t="s">
        <v>0</v>
      </c>
      <c r="D37" s="1" t="s">
        <v>1</v>
      </c>
      <c r="E37" s="1" t="s">
        <v>2</v>
      </c>
      <c r="F37" s="1" t="s">
        <v>3</v>
      </c>
      <c r="G37" s="1" t="s">
        <v>4</v>
      </c>
      <c r="H37" s="1" t="s">
        <v>5</v>
      </c>
      <c r="K37" s="1" t="s">
        <v>0</v>
      </c>
      <c r="L37" s="1" t="s">
        <v>1</v>
      </c>
      <c r="M37" s="1" t="s">
        <v>2</v>
      </c>
      <c r="N37" s="1" t="s">
        <v>3</v>
      </c>
      <c r="O37" s="1" t="s">
        <v>4</v>
      </c>
      <c r="P37" s="1" t="s">
        <v>5</v>
      </c>
      <c r="S37" s="1" t="s">
        <v>0</v>
      </c>
      <c r="T37" s="1" t="s">
        <v>1</v>
      </c>
      <c r="U37" s="1" t="s">
        <v>2</v>
      </c>
      <c r="V37" s="1" t="s">
        <v>3</v>
      </c>
      <c r="W37" s="1" t="s">
        <v>4</v>
      </c>
      <c r="X37" s="1" t="s">
        <v>5</v>
      </c>
    </row>
    <row r="38" spans="2:24" x14ac:dyDescent="0.35">
      <c r="B38" s="1" t="s">
        <v>6</v>
      </c>
      <c r="C38">
        <f>C12-C31</f>
        <v>2.0388658253097151E-2</v>
      </c>
      <c r="D38">
        <f>D31/D12</f>
        <v>1.1552568661663785</v>
      </c>
      <c r="E38">
        <f t="shared" ref="E38:G39" si="2">E31/E12</f>
        <v>2.3857709007530401</v>
      </c>
      <c r="F38">
        <f t="shared" si="2"/>
        <v>1.5445940893170089</v>
      </c>
      <c r="G38">
        <f t="shared" si="2"/>
        <v>1.5441946521240146</v>
      </c>
      <c r="H38">
        <f>H12-H31</f>
        <v>0</v>
      </c>
      <c r="J38" s="9" t="s">
        <v>25</v>
      </c>
      <c r="K38">
        <f>C31-K11</f>
        <v>-0.13760551620504008</v>
      </c>
      <c r="L38">
        <f>D31/L11</f>
        <v>1.1074543785129491</v>
      </c>
      <c r="M38">
        <f t="shared" ref="M38:O38" si="3">E31/M11</f>
        <v>2.2844944925144479</v>
      </c>
      <c r="N38">
        <f t="shared" si="3"/>
        <v>1.5114544298998263</v>
      </c>
      <c r="O38">
        <f t="shared" si="3"/>
        <v>1.5222468078063651</v>
      </c>
      <c r="R38" s="9" t="s">
        <v>25</v>
      </c>
      <c r="S38">
        <f>C31-S12</f>
        <v>-0.18546057120504006</v>
      </c>
      <c r="T38">
        <f>D31/T12</f>
        <v>0.9622675400790095</v>
      </c>
      <c r="U38">
        <f t="shared" ref="U38:W38" si="4">E31/U12</f>
        <v>1.6110552318359537</v>
      </c>
      <c r="V38">
        <f t="shared" si="4"/>
        <v>1.2692735058293572</v>
      </c>
      <c r="W38">
        <f t="shared" si="4"/>
        <v>1.3180531673335716</v>
      </c>
    </row>
    <row r="39" spans="2:24" x14ac:dyDescent="0.35">
      <c r="B39" s="1" t="s">
        <v>7</v>
      </c>
      <c r="C39">
        <f>C13-C32</f>
        <v>0.38625605072289554</v>
      </c>
      <c r="D39">
        <f>D32/D13</f>
        <v>1.0311780270188822</v>
      </c>
      <c r="E39">
        <f t="shared" si="2"/>
        <v>1.3404364628483341</v>
      </c>
      <c r="F39">
        <f t="shared" si="2"/>
        <v>1.1577721981669511</v>
      </c>
      <c r="G39">
        <f t="shared" si="2"/>
        <v>1.2597774284271299</v>
      </c>
      <c r="H39">
        <f>H13-H32</f>
        <v>0</v>
      </c>
    </row>
    <row r="45" spans="2:24" x14ac:dyDescent="0.35">
      <c r="B45" s="11" t="s">
        <v>33</v>
      </c>
      <c r="C45" s="1" t="s">
        <v>0</v>
      </c>
      <c r="D45" s="1" t="s">
        <v>1</v>
      </c>
      <c r="E45" s="1" t="s">
        <v>2</v>
      </c>
      <c r="F45" s="1" t="s">
        <v>3</v>
      </c>
      <c r="G45" s="1" t="s">
        <v>4</v>
      </c>
      <c r="H45" s="1" t="s">
        <v>5</v>
      </c>
    </row>
    <row r="46" spans="2:24" x14ac:dyDescent="0.35">
      <c r="B46" s="1" t="s">
        <v>6</v>
      </c>
      <c r="C46">
        <v>-2.0979013170951161E-2</v>
      </c>
      <c r="D46">
        <v>0.53893180760242188</v>
      </c>
      <c r="E46">
        <v>0.6880253701288398</v>
      </c>
      <c r="F46">
        <v>0.82947294719528963</v>
      </c>
      <c r="G46">
        <v>0.85324758562709146</v>
      </c>
      <c r="H46">
        <v>18</v>
      </c>
    </row>
    <row r="47" spans="2:24" x14ac:dyDescent="0.35">
      <c r="B47" s="1" t="s">
        <v>7</v>
      </c>
      <c r="C47">
        <v>-5.5829901421330062E-2</v>
      </c>
      <c r="D47">
        <v>0.57046333370662006</v>
      </c>
      <c r="E47">
        <v>0.65892261349099268</v>
      </c>
      <c r="F47">
        <v>0.81174048407788102</v>
      </c>
      <c r="G47">
        <v>0.83474156948313616</v>
      </c>
      <c r="H47">
        <v>17</v>
      </c>
    </row>
    <row r="51" spans="2:24" x14ac:dyDescent="0.35">
      <c r="B51" s="13" t="s">
        <v>45</v>
      </c>
      <c r="D51" t="s">
        <v>47</v>
      </c>
      <c r="J51" s="13" t="s">
        <v>50</v>
      </c>
      <c r="R51" s="13" t="s">
        <v>51</v>
      </c>
    </row>
    <row r="52" spans="2:24" x14ac:dyDescent="0.35">
      <c r="C52" s="1" t="s">
        <v>0</v>
      </c>
      <c r="D52" s="1" t="s">
        <v>1</v>
      </c>
      <c r="E52" s="1" t="s">
        <v>2</v>
      </c>
      <c r="F52" s="1" t="s">
        <v>3</v>
      </c>
      <c r="G52" s="1" t="s">
        <v>4</v>
      </c>
      <c r="H52" s="1" t="s">
        <v>5</v>
      </c>
      <c r="K52" s="1" t="s">
        <v>0</v>
      </c>
      <c r="L52" s="1" t="s">
        <v>1</v>
      </c>
      <c r="M52" s="1" t="s">
        <v>2</v>
      </c>
      <c r="N52" s="1" t="s">
        <v>3</v>
      </c>
      <c r="O52" s="1" t="s">
        <v>4</v>
      </c>
      <c r="P52" s="1" t="s">
        <v>5</v>
      </c>
      <c r="S52" s="1" t="s">
        <v>0</v>
      </c>
      <c r="T52" s="1" t="s">
        <v>1</v>
      </c>
      <c r="U52" s="1" t="s">
        <v>2</v>
      </c>
      <c r="V52" s="1" t="s">
        <v>3</v>
      </c>
      <c r="W52" s="1" t="s">
        <v>4</v>
      </c>
      <c r="X52" s="1" t="s">
        <v>5</v>
      </c>
    </row>
    <row r="53" spans="2:24" x14ac:dyDescent="0.35">
      <c r="B53" s="1" t="s">
        <v>6</v>
      </c>
      <c r="C53">
        <f>C12-C46</f>
        <v>8.5619322190082312E-3</v>
      </c>
      <c r="D53">
        <f>D46/D12</f>
        <v>0.91082399292764937</v>
      </c>
      <c r="E53">
        <f t="shared" ref="E53:G54" si="5">E46/E12</f>
        <v>1.1980224627679674</v>
      </c>
      <c r="F53">
        <f t="shared" si="5"/>
        <v>1.094542124711501</v>
      </c>
      <c r="G53">
        <f t="shared" si="5"/>
        <v>1.0943388977469415</v>
      </c>
      <c r="H53">
        <f>H12-H46</f>
        <v>0</v>
      </c>
      <c r="J53" s="9" t="s">
        <v>25</v>
      </c>
      <c r="K53">
        <f>C46-K20</f>
        <v>6.1158824927800323E-2</v>
      </c>
      <c r="L53">
        <f>D46/L11</f>
        <v>0.87313570562851939</v>
      </c>
      <c r="M53">
        <f t="shared" ref="M53:O53" si="6">E46/M11</f>
        <v>1.1471661915392439</v>
      </c>
      <c r="N53">
        <f t="shared" si="6"/>
        <v>1.0710584447715257</v>
      </c>
      <c r="O53">
        <f t="shared" si="6"/>
        <v>1.078784913198775</v>
      </c>
      <c r="R53" s="9" t="s">
        <v>25</v>
      </c>
      <c r="S53">
        <f>C46-S20</f>
        <v>-0.15097190626970264</v>
      </c>
      <c r="T53">
        <f>D46/T12</f>
        <v>0.75866795410433363</v>
      </c>
      <c r="U53">
        <f t="shared" ref="U53:W53" si="7">E46/U12</f>
        <v>0.80899652011436685</v>
      </c>
      <c r="V53">
        <f t="shared" si="7"/>
        <v>0.89944233861777334</v>
      </c>
      <c r="W53">
        <f t="shared" si="7"/>
        <v>0.93407709211250811</v>
      </c>
    </row>
    <row r="54" spans="2:24" x14ac:dyDescent="0.35">
      <c r="B54" s="1" t="s">
        <v>7</v>
      </c>
      <c r="C54">
        <f>C13-C47</f>
        <v>0.34691188629274883</v>
      </c>
      <c r="D54">
        <f>D47/D13</f>
        <v>1.0311417488154317</v>
      </c>
      <c r="E54">
        <f t="shared" si="5"/>
        <v>1.2956900688177664</v>
      </c>
      <c r="F54">
        <f t="shared" si="5"/>
        <v>1.1382838261249986</v>
      </c>
      <c r="G54">
        <f t="shared" si="5"/>
        <v>1.243931368306477</v>
      </c>
      <c r="H54">
        <f>H13-H47</f>
        <v>0</v>
      </c>
    </row>
    <row r="59" spans="2:24" x14ac:dyDescent="0.35">
      <c r="B59" s="11" t="s">
        <v>26</v>
      </c>
      <c r="C59" s="1" t="s">
        <v>0</v>
      </c>
      <c r="D59" s="1" t="s">
        <v>1</v>
      </c>
      <c r="E59" s="1" t="s">
        <v>2</v>
      </c>
      <c r="F59" s="1" t="s">
        <v>3</v>
      </c>
      <c r="G59" s="1" t="s">
        <v>4</v>
      </c>
      <c r="H59" s="1" t="s">
        <v>5</v>
      </c>
    </row>
    <row r="60" spans="2:24" x14ac:dyDescent="0.35">
      <c r="B60" s="1" t="s">
        <v>6</v>
      </c>
      <c r="C60">
        <v>0.26851872167967872</v>
      </c>
      <c r="D60">
        <v>0.63035973041284532</v>
      </c>
      <c r="E60">
        <v>0.53228142555688274</v>
      </c>
      <c r="F60">
        <v>0.72957619585406075</v>
      </c>
      <c r="G60">
        <v>0.69803186299931874</v>
      </c>
      <c r="H60">
        <v>18</v>
      </c>
    </row>
    <row r="61" spans="2:24" x14ac:dyDescent="0.35">
      <c r="B61" s="1" t="s">
        <v>7</v>
      </c>
      <c r="C61">
        <v>0.1702341557624833</v>
      </c>
      <c r="D61">
        <v>0.49811891207702658</v>
      </c>
      <c r="E61">
        <v>0.4162989568189735</v>
      </c>
      <c r="F61">
        <v>0.64521233467671202</v>
      </c>
      <c r="G61">
        <v>0.64150350318235494</v>
      </c>
      <c r="H61">
        <v>17</v>
      </c>
    </row>
    <row r="65" spans="2:24" x14ac:dyDescent="0.35">
      <c r="B65" s="13" t="s">
        <v>46</v>
      </c>
      <c r="D65" t="s">
        <v>47</v>
      </c>
      <c r="J65" s="13" t="s">
        <v>52</v>
      </c>
      <c r="R65" s="13" t="s">
        <v>53</v>
      </c>
    </row>
    <row r="66" spans="2:24" x14ac:dyDescent="0.35">
      <c r="C66" s="1" t="s">
        <v>0</v>
      </c>
      <c r="D66" s="1" t="s">
        <v>1</v>
      </c>
      <c r="E66" s="1" t="s">
        <v>2</v>
      </c>
      <c r="F66" s="1" t="s">
        <v>3</v>
      </c>
      <c r="G66" s="1" t="s">
        <v>4</v>
      </c>
      <c r="H66" s="1" t="s">
        <v>5</v>
      </c>
      <c r="K66" s="1" t="s">
        <v>0</v>
      </c>
      <c r="L66" s="1" t="s">
        <v>1</v>
      </c>
      <c r="M66" s="1" t="s">
        <v>2</v>
      </c>
      <c r="N66" s="1" t="s">
        <v>3</v>
      </c>
      <c r="O66" s="1" t="s">
        <v>4</v>
      </c>
      <c r="P66" s="1" t="s">
        <v>5</v>
      </c>
      <c r="S66" s="1" t="s">
        <v>0</v>
      </c>
      <c r="T66" s="1" t="s">
        <v>1</v>
      </c>
      <c r="U66" s="1" t="s">
        <v>2</v>
      </c>
      <c r="V66" s="1" t="s">
        <v>3</v>
      </c>
      <c r="W66" s="1" t="s">
        <v>4</v>
      </c>
      <c r="X66" s="1" t="s">
        <v>5</v>
      </c>
    </row>
    <row r="67" spans="2:24" x14ac:dyDescent="0.35">
      <c r="B67" s="1" t="s">
        <v>6</v>
      </c>
      <c r="C67">
        <f>C12-C60</f>
        <v>-0.28093580263162166</v>
      </c>
      <c r="D67">
        <f>D60/D12</f>
        <v>1.0653421426166427</v>
      </c>
      <c r="E67">
        <f t="shared" ref="E67:G68" si="8">E60/E12</f>
        <v>0.92683370703596013</v>
      </c>
      <c r="F67">
        <f t="shared" si="8"/>
        <v>0.96272202999409973</v>
      </c>
      <c r="G67">
        <f t="shared" si="8"/>
        <v>0.89526584360095784</v>
      </c>
      <c r="H67">
        <f>H12-H60</f>
        <v>0</v>
      </c>
      <c r="J67" s="9" t="s">
        <v>25</v>
      </c>
      <c r="K67">
        <f>K20-C60</f>
        <v>-0.35065655977843019</v>
      </c>
      <c r="L67">
        <f>D60/L11</f>
        <v>1.021260167334294</v>
      </c>
      <c r="M67">
        <f t="shared" ref="M67:O67" si="9">E60/M11</f>
        <v>0.88748944776385907</v>
      </c>
      <c r="N67">
        <f t="shared" si="9"/>
        <v>0.94206658374573904</v>
      </c>
      <c r="O67">
        <f t="shared" si="9"/>
        <v>0.88254131089309229</v>
      </c>
      <c r="R67" s="9" t="s">
        <v>25</v>
      </c>
      <c r="S67">
        <f>S20-S60</f>
        <v>0.12999289309875148</v>
      </c>
      <c r="T67">
        <f>D60/T12</f>
        <v>0.88737335647272264</v>
      </c>
      <c r="U67">
        <f t="shared" ref="U67:W67" si="10">E60/U12</f>
        <v>0.62586910264136875</v>
      </c>
      <c r="V67">
        <f t="shared" si="10"/>
        <v>0.79111889304852478</v>
      </c>
      <c r="W67">
        <f t="shared" si="10"/>
        <v>0.76415753618931559</v>
      </c>
    </row>
    <row r="68" spans="2:24" x14ac:dyDescent="0.35">
      <c r="B68" s="1" t="s">
        <v>7</v>
      </c>
      <c r="C68">
        <f>C13-C61</f>
        <v>0.12084782910893549</v>
      </c>
      <c r="D68">
        <f>D61/D13</f>
        <v>0.90037549438943876</v>
      </c>
      <c r="E68">
        <f t="shared" si="8"/>
        <v>0.81860056547735027</v>
      </c>
      <c r="F68">
        <f t="shared" si="8"/>
        <v>0.90476547540086327</v>
      </c>
      <c r="G68">
        <f t="shared" si="8"/>
        <v>0.95596812194357417</v>
      </c>
      <c r="H68">
        <f>H13-H61</f>
        <v>0</v>
      </c>
    </row>
  </sheetData>
  <conditionalFormatting sqref="D20:G21">
    <cfRule type="cellIs" dxfId="99" priority="47" operator="lessThan">
      <formula>0</formula>
    </cfRule>
    <cfRule type="cellIs" dxfId="98" priority="46" operator="greaterThan">
      <formula>1</formula>
    </cfRule>
    <cfRule type="cellIs" dxfId="97" priority="45" operator="lessThan">
      <formula>1</formula>
    </cfRule>
    <cfRule type="cellIs" dxfId="96" priority="48" operator="greaterThan">
      <formula>0</formula>
    </cfRule>
  </conditionalFormatting>
  <conditionalFormatting sqref="D38:G39">
    <cfRule type="cellIs" dxfId="95" priority="42" operator="greaterThan">
      <formula>1</formula>
    </cfRule>
    <cfRule type="cellIs" dxfId="94" priority="44" operator="greaterThan">
      <formula>0</formula>
    </cfRule>
    <cfRule type="cellIs" dxfId="93" priority="43" operator="lessThan">
      <formula>0</formula>
    </cfRule>
    <cfRule type="cellIs" dxfId="92" priority="41" operator="lessThan">
      <formula>1</formula>
    </cfRule>
  </conditionalFormatting>
  <conditionalFormatting sqref="D53:G54">
    <cfRule type="cellIs" dxfId="91" priority="40" operator="greaterThan">
      <formula>0</formula>
    </cfRule>
    <cfRule type="cellIs" dxfId="90" priority="39" operator="lessThan">
      <formula>0</formula>
    </cfRule>
    <cfRule type="cellIs" dxfId="89" priority="38" operator="greaterThan">
      <formula>1</formula>
    </cfRule>
    <cfRule type="cellIs" dxfId="88" priority="37" operator="lessThan">
      <formula>1</formula>
    </cfRule>
  </conditionalFormatting>
  <conditionalFormatting sqref="D67:G68">
    <cfRule type="cellIs" dxfId="87" priority="36" operator="greaterThan">
      <formula>0</formula>
    </cfRule>
    <cfRule type="cellIs" dxfId="86" priority="35" operator="lessThan">
      <formula>0</formula>
    </cfRule>
    <cfRule type="cellIs" dxfId="85" priority="34" operator="greaterThan">
      <formula>1</formula>
    </cfRule>
    <cfRule type="cellIs" dxfId="84" priority="33" operator="lessThan">
      <formula>1</formula>
    </cfRule>
  </conditionalFormatting>
  <conditionalFormatting sqref="L20:O20">
    <cfRule type="cellIs" dxfId="83" priority="7" operator="lessThan">
      <formula>0</formula>
    </cfRule>
    <cfRule type="cellIs" dxfId="82" priority="5" operator="lessThan">
      <formula>1</formula>
    </cfRule>
    <cfRule type="cellIs" dxfId="81" priority="6" operator="greaterThan">
      <formula>1</formula>
    </cfRule>
    <cfRule type="cellIs" dxfId="80" priority="8" operator="greaterThan">
      <formula>0</formula>
    </cfRule>
  </conditionalFormatting>
  <conditionalFormatting sqref="L38:O38">
    <cfRule type="cellIs" dxfId="79" priority="31" operator="lessThan">
      <formula>0</formula>
    </cfRule>
    <cfRule type="cellIs" dxfId="78" priority="32" operator="greaterThan">
      <formula>0</formula>
    </cfRule>
    <cfRule type="cellIs" dxfId="77" priority="30" operator="greaterThan">
      <formula>1</formula>
    </cfRule>
    <cfRule type="cellIs" dxfId="76" priority="29" operator="lessThan">
      <formula>1</formula>
    </cfRule>
  </conditionalFormatting>
  <conditionalFormatting sqref="L53:O53">
    <cfRule type="cellIs" dxfId="75" priority="25" operator="lessThan">
      <formula>1</formula>
    </cfRule>
    <cfRule type="cellIs" dxfId="74" priority="26" operator="greaterThan">
      <formula>1</formula>
    </cfRule>
    <cfRule type="cellIs" dxfId="73" priority="27" operator="lessThan">
      <formula>0</formula>
    </cfRule>
    <cfRule type="cellIs" dxfId="72" priority="28" operator="greaterThan">
      <formula>0</formula>
    </cfRule>
  </conditionalFormatting>
  <conditionalFormatting sqref="L67:O67">
    <cfRule type="cellIs" dxfId="71" priority="24" operator="greaterThan">
      <formula>0</formula>
    </cfRule>
    <cfRule type="cellIs" dxfId="70" priority="23" operator="lessThan">
      <formula>0</formula>
    </cfRule>
    <cfRule type="cellIs" dxfId="69" priority="22" operator="greaterThan">
      <formula>1</formula>
    </cfRule>
    <cfRule type="cellIs" dxfId="68" priority="21" operator="lessThan">
      <formula>1</formula>
    </cfRule>
  </conditionalFormatting>
  <conditionalFormatting sqref="T20:W21">
    <cfRule type="cellIs" dxfId="67" priority="1" operator="lessThan">
      <formula>1</formula>
    </cfRule>
    <cfRule type="cellIs" dxfId="66" priority="4" operator="greaterThan">
      <formula>0</formula>
    </cfRule>
    <cfRule type="cellIs" dxfId="65" priority="3" operator="lessThan">
      <formula>0</formula>
    </cfRule>
    <cfRule type="cellIs" dxfId="64" priority="2" operator="greaterThan">
      <formula>1</formula>
    </cfRule>
  </conditionalFormatting>
  <conditionalFormatting sqref="T38:W38">
    <cfRule type="cellIs" dxfId="63" priority="12" operator="greaterThan">
      <formula>0</formula>
    </cfRule>
    <cfRule type="cellIs" dxfId="62" priority="11" operator="lessThan">
      <formula>0</formula>
    </cfRule>
    <cfRule type="cellIs" dxfId="61" priority="10" operator="greaterThan">
      <formula>1</formula>
    </cfRule>
    <cfRule type="cellIs" dxfId="60" priority="9" operator="lessThan">
      <formula>1</formula>
    </cfRule>
  </conditionalFormatting>
  <conditionalFormatting sqref="T53:W53">
    <cfRule type="cellIs" dxfId="59" priority="16" operator="greaterThan">
      <formula>0</formula>
    </cfRule>
    <cfRule type="cellIs" dxfId="58" priority="15" operator="lessThan">
      <formula>0</formula>
    </cfRule>
    <cfRule type="cellIs" dxfId="57" priority="14" operator="greaterThan">
      <formula>1</formula>
    </cfRule>
    <cfRule type="cellIs" dxfId="56" priority="13" operator="lessThan">
      <formula>1</formula>
    </cfRule>
  </conditionalFormatting>
  <conditionalFormatting sqref="T67:W67">
    <cfRule type="cellIs" dxfId="55" priority="19" operator="lessThan">
      <formula>0</formula>
    </cfRule>
    <cfRule type="cellIs" dxfId="54" priority="20" operator="greaterThan">
      <formula>0</formula>
    </cfRule>
    <cfRule type="cellIs" dxfId="53" priority="18" operator="greaterThan">
      <formula>1</formula>
    </cfRule>
    <cfRule type="cellIs" dxfId="52" priority="17" operator="lessThan">
      <formula>1</formula>
    </cfRule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FB474-FC50-4624-86F7-51C40E4033B2}">
  <dimension ref="B2:X68"/>
  <sheetViews>
    <sheetView tabSelected="1" topLeftCell="A20" zoomScale="83" workbookViewId="0">
      <selection activeCell="G56" sqref="G56"/>
    </sheetView>
  </sheetViews>
  <sheetFormatPr baseColWidth="10" defaultRowHeight="14.5" x14ac:dyDescent="0.35"/>
  <sheetData>
    <row r="2" spans="2:24" x14ac:dyDescent="0.35">
      <c r="B2" s="17" t="s">
        <v>42</v>
      </c>
    </row>
    <row r="3" spans="2:24" x14ac:dyDescent="0.35">
      <c r="B3" s="4" t="s">
        <v>18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spans="2:24" x14ac:dyDescent="0.35">
      <c r="B4" s="1" t="s">
        <v>6</v>
      </c>
      <c r="C4">
        <v>8.4731813345035947E-2</v>
      </c>
      <c r="D4">
        <v>0.19608441834062471</v>
      </c>
      <c r="E4">
        <v>5.6550198482459769E-2</v>
      </c>
      <c r="F4">
        <v>0.23780285633789131</v>
      </c>
      <c r="G4">
        <v>0.23058288282192499</v>
      </c>
      <c r="H4">
        <v>14</v>
      </c>
    </row>
    <row r="5" spans="2:24" x14ac:dyDescent="0.35">
      <c r="B5" s="1" t="s">
        <v>7</v>
      </c>
      <c r="C5">
        <v>0.35149657263508632</v>
      </c>
      <c r="D5">
        <v>0.36787892541529482</v>
      </c>
      <c r="E5">
        <v>0.20852033882999199</v>
      </c>
      <c r="F5">
        <v>0.45664027289540732</v>
      </c>
      <c r="G5">
        <v>0.30339969200780009</v>
      </c>
      <c r="H5">
        <v>13</v>
      </c>
    </row>
    <row r="9" spans="2:24" x14ac:dyDescent="0.35">
      <c r="B9" s="17" t="s">
        <v>43</v>
      </c>
    </row>
    <row r="10" spans="2:24" ht="72.5" x14ac:dyDescent="0.35">
      <c r="B10" s="6" t="s">
        <v>17</v>
      </c>
      <c r="C10" s="7" t="s">
        <v>0</v>
      </c>
      <c r="D10" s="7" t="s">
        <v>1</v>
      </c>
      <c r="E10" s="7" t="s">
        <v>2</v>
      </c>
      <c r="F10" s="7" t="s">
        <v>3</v>
      </c>
      <c r="G10" s="7" t="s">
        <v>4</v>
      </c>
      <c r="H10" s="7" t="s">
        <v>5</v>
      </c>
      <c r="J10" s="6" t="s">
        <v>21</v>
      </c>
      <c r="K10" s="1" t="s">
        <v>0</v>
      </c>
      <c r="L10" s="1" t="s">
        <v>1</v>
      </c>
      <c r="M10" s="1" t="s">
        <v>2</v>
      </c>
      <c r="N10" s="1" t="s">
        <v>3</v>
      </c>
      <c r="O10" s="1" t="s">
        <v>4</v>
      </c>
      <c r="P10" s="1" t="s">
        <v>5</v>
      </c>
      <c r="R10" s="6" t="s">
        <v>19</v>
      </c>
      <c r="S10" s="7" t="s">
        <v>0</v>
      </c>
      <c r="T10" s="7" t="s">
        <v>1</v>
      </c>
      <c r="U10" s="7" t="s">
        <v>2</v>
      </c>
      <c r="V10" s="7" t="s">
        <v>3</v>
      </c>
      <c r="W10" s="7" t="s">
        <v>4</v>
      </c>
      <c r="X10" s="7" t="s">
        <v>5</v>
      </c>
    </row>
    <row r="11" spans="2:24" x14ac:dyDescent="0.35">
      <c r="B11" s="1" t="s">
        <v>16</v>
      </c>
      <c r="C11">
        <v>1.3011220293412029E-2</v>
      </c>
      <c r="D11">
        <v>0.36856774916409979</v>
      </c>
      <c r="E11">
        <v>0.23933543460363629</v>
      </c>
      <c r="F11">
        <v>0.48921920915233519</v>
      </c>
      <c r="G11">
        <v>0.50750718058592548</v>
      </c>
      <c r="H11">
        <v>14</v>
      </c>
      <c r="J11" s="1" t="s">
        <v>16</v>
      </c>
      <c r="K11">
        <v>0.242837254</v>
      </c>
      <c r="L11">
        <v>0.489995338</v>
      </c>
      <c r="M11">
        <v>0.37659942800000001</v>
      </c>
      <c r="N11">
        <v>0.61367697399999999</v>
      </c>
      <c r="O11">
        <v>0.58659919900000002</v>
      </c>
      <c r="P11">
        <v>13</v>
      </c>
      <c r="R11" s="1" t="s">
        <v>16</v>
      </c>
      <c r="S11" s="8">
        <v>-1.4345484E-2</v>
      </c>
      <c r="T11" s="8">
        <v>0.35970006399999999</v>
      </c>
      <c r="U11" s="8">
        <v>0.22459015500000001</v>
      </c>
      <c r="V11" s="8">
        <v>0.47390943800000002</v>
      </c>
      <c r="W11" s="8">
        <v>0.481790155</v>
      </c>
      <c r="X11" s="8">
        <v>30</v>
      </c>
    </row>
    <row r="12" spans="2:24" x14ac:dyDescent="0.35">
      <c r="B12" s="1" t="s">
        <v>6</v>
      </c>
      <c r="C12">
        <v>6.495926225006432E-2</v>
      </c>
      <c r="D12">
        <v>0.41419890257576941</v>
      </c>
      <c r="E12">
        <v>0.25692261999556271</v>
      </c>
      <c r="F12">
        <v>0.50687534956393632</v>
      </c>
      <c r="G12">
        <v>0.52167192751242397</v>
      </c>
      <c r="H12">
        <v>14</v>
      </c>
      <c r="R12" s="1" t="s">
        <v>6</v>
      </c>
      <c r="S12">
        <v>0.20493499300000001</v>
      </c>
      <c r="T12">
        <v>0.53794947400000004</v>
      </c>
      <c r="U12">
        <v>0.44826021599999999</v>
      </c>
      <c r="V12">
        <v>0.669522379</v>
      </c>
      <c r="W12">
        <v>0.640957569</v>
      </c>
      <c r="X12">
        <v>90</v>
      </c>
    </row>
    <row r="13" spans="2:24" x14ac:dyDescent="0.35">
      <c r="B13" s="1" t="s">
        <v>7</v>
      </c>
      <c r="C13">
        <v>0.31768166548740129</v>
      </c>
      <c r="D13">
        <v>0.57217003700275926</v>
      </c>
      <c r="E13">
        <v>0.48877556135615668</v>
      </c>
      <c r="F13">
        <v>0.69912485391105694</v>
      </c>
      <c r="G13">
        <v>0.64820913356216803</v>
      </c>
      <c r="H13">
        <v>13</v>
      </c>
      <c r="R13" s="1" t="s">
        <v>7</v>
      </c>
      <c r="S13">
        <v>0.152520767</v>
      </c>
      <c r="T13">
        <v>0.507966735</v>
      </c>
      <c r="U13">
        <v>0.35149017799999999</v>
      </c>
      <c r="V13">
        <v>0.59286607099999999</v>
      </c>
      <c r="W13">
        <v>0.57985614100000005</v>
      </c>
      <c r="X13">
        <v>42</v>
      </c>
    </row>
    <row r="14" spans="2:24" x14ac:dyDescent="0.35">
      <c r="B14" s="5"/>
      <c r="R14" s="5"/>
    </row>
    <row r="15" spans="2:24" x14ac:dyDescent="0.35">
      <c r="B15" s="5"/>
      <c r="R15" s="5"/>
    </row>
    <row r="18" spans="2:24" x14ac:dyDescent="0.35">
      <c r="B18" s="13" t="s">
        <v>22</v>
      </c>
      <c r="D18" t="s">
        <v>47</v>
      </c>
      <c r="J18" s="13" t="s">
        <v>24</v>
      </c>
      <c r="L18" t="s">
        <v>47</v>
      </c>
      <c r="R18" s="2" t="s">
        <v>23</v>
      </c>
      <c r="T18" t="s">
        <v>47</v>
      </c>
    </row>
    <row r="19" spans="2:24" x14ac:dyDescent="0.35">
      <c r="C19" s="1" t="s">
        <v>0</v>
      </c>
      <c r="D19" s="1" t="s">
        <v>1</v>
      </c>
      <c r="E19" s="1" t="s">
        <v>2</v>
      </c>
      <c r="F19" s="1" t="s">
        <v>3</v>
      </c>
      <c r="G19" s="1" t="s">
        <v>4</v>
      </c>
      <c r="H19" s="1" t="s">
        <v>5</v>
      </c>
      <c r="K19" s="1" t="s">
        <v>0</v>
      </c>
      <c r="L19" s="1" t="s">
        <v>1</v>
      </c>
      <c r="M19" s="1" t="s">
        <v>2</v>
      </c>
      <c r="N19" s="1" t="s">
        <v>3</v>
      </c>
      <c r="O19" s="1" t="s">
        <v>4</v>
      </c>
      <c r="P19" s="1" t="s">
        <v>5</v>
      </c>
      <c r="S19" s="1" t="s">
        <v>0</v>
      </c>
      <c r="T19" s="1" t="s">
        <v>1</v>
      </c>
      <c r="U19" s="1" t="s">
        <v>2</v>
      </c>
      <c r="V19" s="1" t="s">
        <v>3</v>
      </c>
      <c r="W19" s="1" t="s">
        <v>4</v>
      </c>
      <c r="X19" s="1" t="s">
        <v>5</v>
      </c>
    </row>
    <row r="20" spans="2:24" x14ac:dyDescent="0.35">
      <c r="B20" s="1" t="s">
        <v>6</v>
      </c>
      <c r="C20">
        <f>C12-C4</f>
        <v>-1.9772551094971627E-2</v>
      </c>
      <c r="D20">
        <f>D4/D12</f>
        <v>0.47340641687179502</v>
      </c>
      <c r="E20">
        <f t="shared" ref="D20:F21" si="0">E4/E12</f>
        <v>0.22010595440540207</v>
      </c>
      <c r="F20">
        <f>F4/F12</f>
        <v>0.46915451016205967</v>
      </c>
      <c r="G20">
        <f>G4/G12</f>
        <v>0.44200745844510392</v>
      </c>
      <c r="H20">
        <f>H12-H4</f>
        <v>0</v>
      </c>
      <c r="J20" s="9" t="s">
        <v>25</v>
      </c>
      <c r="K20">
        <f>C4-K11</f>
        <v>-0.15810544065496407</v>
      </c>
      <c r="L20">
        <f>D4/L11</f>
        <v>0.4001760897174591</v>
      </c>
      <c r="M20">
        <f>E4/M11</f>
        <v>0.1501600753425992</v>
      </c>
      <c r="N20">
        <f>F4/N11</f>
        <v>0.38750493567955069</v>
      </c>
      <c r="O20">
        <f>G4/O11</f>
        <v>0.39308421016429818</v>
      </c>
      <c r="P20">
        <f>H4-P11</f>
        <v>1</v>
      </c>
      <c r="R20" s="1" t="s">
        <v>6</v>
      </c>
      <c r="S20">
        <f>S12-C4</f>
        <v>0.12020317965496406</v>
      </c>
      <c r="T20">
        <f>D4/T12</f>
        <v>0.36450341122672925</v>
      </c>
      <c r="U20">
        <f t="shared" ref="T20:W21" si="1">E4/U12</f>
        <v>0.12615484592203866</v>
      </c>
      <c r="V20">
        <f t="shared" si="1"/>
        <v>0.35518283450520971</v>
      </c>
      <c r="W20">
        <f t="shared" si="1"/>
        <v>0.35974749963819364</v>
      </c>
      <c r="X20">
        <f>X12-H4</f>
        <v>76</v>
      </c>
    </row>
    <row r="21" spans="2:24" x14ac:dyDescent="0.35">
      <c r="B21" s="1" t="s">
        <v>7</v>
      </c>
      <c r="C21">
        <f>C13-C5</f>
        <v>-3.3814907147685036E-2</v>
      </c>
      <c r="D21">
        <f t="shared" si="0"/>
        <v>0.64295384522821619</v>
      </c>
      <c r="E21">
        <f t="shared" si="0"/>
        <v>0.42661776757297654</v>
      </c>
      <c r="F21">
        <f t="shared" si="0"/>
        <v>0.65315983309828285</v>
      </c>
      <c r="G21">
        <f>G5/G13</f>
        <v>0.46805834151163167</v>
      </c>
      <c r="H21">
        <f>H13-H5</f>
        <v>0</v>
      </c>
      <c r="J21" s="12"/>
      <c r="R21" s="1" t="s">
        <v>7</v>
      </c>
      <c r="S21">
        <f>S13-C5</f>
        <v>-0.19897580563508632</v>
      </c>
      <c r="T21">
        <f t="shared" si="1"/>
        <v>0.72421853650573165</v>
      </c>
      <c r="U21">
        <f t="shared" si="1"/>
        <v>0.59324655959516459</v>
      </c>
      <c r="V21">
        <f t="shared" si="1"/>
        <v>0.77022500566642704</v>
      </c>
      <c r="W21">
        <f t="shared" si="1"/>
        <v>0.52323269610384293</v>
      </c>
      <c r="X21">
        <f>X13-H5</f>
        <v>29</v>
      </c>
    </row>
    <row r="22" spans="2:24" x14ac:dyDescent="0.35">
      <c r="J22" s="5"/>
    </row>
    <row r="30" spans="2:24" x14ac:dyDescent="0.35">
      <c r="B30" s="10" t="s">
        <v>32</v>
      </c>
      <c r="C30" s="1" t="s">
        <v>0</v>
      </c>
      <c r="D30" s="1" t="s">
        <v>1</v>
      </c>
      <c r="E30" s="1" t="s">
        <v>2</v>
      </c>
      <c r="F30" s="1" t="s">
        <v>3</v>
      </c>
      <c r="G30" s="1" t="s">
        <v>4</v>
      </c>
      <c r="H30" s="1" t="s">
        <v>5</v>
      </c>
    </row>
    <row r="31" spans="2:24" x14ac:dyDescent="0.35">
      <c r="B31" s="1" t="s">
        <v>6</v>
      </c>
      <c r="C31">
        <v>-6.6218549121872449E-3</v>
      </c>
      <c r="D31">
        <v>0.32050105719551852</v>
      </c>
      <c r="E31">
        <v>0.19527141161953809</v>
      </c>
      <c r="F31">
        <v>0.44189524960055648</v>
      </c>
      <c r="G31">
        <v>0.45852488206948372</v>
      </c>
      <c r="H31">
        <v>14</v>
      </c>
    </row>
    <row r="32" spans="2:24" x14ac:dyDescent="0.35">
      <c r="B32" s="1" t="s">
        <v>7</v>
      </c>
      <c r="C32">
        <v>1.335479027465388E-2</v>
      </c>
      <c r="D32">
        <v>0.28332272370413902</v>
      </c>
      <c r="E32">
        <v>0.13315841937805559</v>
      </c>
      <c r="F32">
        <v>0.36490878227038548</v>
      </c>
      <c r="G32">
        <v>0.37955466189690462</v>
      </c>
      <c r="H32">
        <v>13</v>
      </c>
    </row>
    <row r="36" spans="2:24" x14ac:dyDescent="0.35">
      <c r="B36" s="13" t="s">
        <v>44</v>
      </c>
      <c r="D36" t="s">
        <v>47</v>
      </c>
      <c r="J36" s="13" t="s">
        <v>48</v>
      </c>
      <c r="R36" s="13" t="s">
        <v>49</v>
      </c>
    </row>
    <row r="37" spans="2:24" x14ac:dyDescent="0.35">
      <c r="C37" s="1" t="s">
        <v>0</v>
      </c>
      <c r="D37" s="1" t="s">
        <v>1</v>
      </c>
      <c r="E37" s="1" t="s">
        <v>2</v>
      </c>
      <c r="F37" s="1" t="s">
        <v>3</v>
      </c>
      <c r="G37" s="1" t="s">
        <v>4</v>
      </c>
      <c r="H37" s="1" t="s">
        <v>5</v>
      </c>
      <c r="K37" s="1" t="s">
        <v>0</v>
      </c>
      <c r="L37" s="1" t="s">
        <v>1</v>
      </c>
      <c r="M37" s="1" t="s">
        <v>2</v>
      </c>
      <c r="N37" s="1" t="s">
        <v>3</v>
      </c>
      <c r="O37" s="1" t="s">
        <v>4</v>
      </c>
      <c r="P37" s="1" t="s">
        <v>5</v>
      </c>
      <c r="S37" s="1" t="s">
        <v>0</v>
      </c>
      <c r="T37" s="1" t="s">
        <v>1</v>
      </c>
      <c r="U37" s="1" t="s">
        <v>2</v>
      </c>
      <c r="V37" s="1" t="s">
        <v>3</v>
      </c>
      <c r="W37" s="1" t="s">
        <v>4</v>
      </c>
      <c r="X37" s="1" t="s">
        <v>5</v>
      </c>
    </row>
    <row r="38" spans="2:24" x14ac:dyDescent="0.35">
      <c r="B38" s="1" t="s">
        <v>6</v>
      </c>
      <c r="C38">
        <f>C12-C31</f>
        <v>7.1581117162251559E-2</v>
      </c>
      <c r="D38">
        <f>D31/D12</f>
        <v>0.7737853847569991</v>
      </c>
      <c r="E38">
        <f t="shared" ref="E38:F39" si="2">E31/E12</f>
        <v>0.7600397801599198</v>
      </c>
      <c r="F38">
        <f t="shared" si="2"/>
        <v>0.87180260389604258</v>
      </c>
      <c r="G38">
        <f>G31/G12</f>
        <v>0.87895257131420712</v>
      </c>
      <c r="H38">
        <f>H12-H31</f>
        <v>0</v>
      </c>
      <c r="J38" s="9" t="s">
        <v>25</v>
      </c>
      <c r="K38">
        <f>C31-K11</f>
        <v>-0.24945910891218726</v>
      </c>
      <c r="L38">
        <f>D31/L11</f>
        <v>0.65409001339420603</v>
      </c>
      <c r="M38">
        <f t="shared" ref="M38:N38" si="3">E31/M11</f>
        <v>0.51851223634768262</v>
      </c>
      <c r="N38">
        <f t="shared" si="3"/>
        <v>0.7200779372904359</v>
      </c>
      <c r="O38">
        <f>G31/O11</f>
        <v>0.78166639649551195</v>
      </c>
      <c r="R38" s="9" t="s">
        <v>25</v>
      </c>
      <c r="S38">
        <f>C31-S12</f>
        <v>-0.21155684791218726</v>
      </c>
      <c r="T38">
        <f>D31/T12</f>
        <v>0.59578282475561728</v>
      </c>
      <c r="U38">
        <f t="shared" ref="U38:V38" si="4">E31/U12</f>
        <v>0.43562066105714387</v>
      </c>
      <c r="V38">
        <f t="shared" si="4"/>
        <v>0.66001565214380453</v>
      </c>
      <c r="W38">
        <f>G31/W12</f>
        <v>0.71537478336492466</v>
      </c>
    </row>
    <row r="39" spans="2:24" x14ac:dyDescent="0.35">
      <c r="B39" s="1" t="s">
        <v>7</v>
      </c>
      <c r="C39">
        <f>C13-C32</f>
        <v>0.30432687521274743</v>
      </c>
      <c r="D39">
        <f>D32/D13</f>
        <v>0.49517224842511759</v>
      </c>
      <c r="E39">
        <f t="shared" si="2"/>
        <v>0.27243264579062471</v>
      </c>
      <c r="F39">
        <f t="shared" si="2"/>
        <v>0.52195080782639347</v>
      </c>
      <c r="G39">
        <f>G32/G13</f>
        <v>0.58554352637874785</v>
      </c>
      <c r="H39">
        <f>H13-H32</f>
        <v>0</v>
      </c>
    </row>
    <row r="45" spans="2:24" x14ac:dyDescent="0.35">
      <c r="B45" s="11" t="s">
        <v>33</v>
      </c>
      <c r="C45" s="1" t="s">
        <v>0</v>
      </c>
      <c r="D45" s="1" t="s">
        <v>1</v>
      </c>
      <c r="E45" s="1" t="s">
        <v>2</v>
      </c>
      <c r="F45" s="1" t="s">
        <v>3</v>
      </c>
      <c r="G45" s="1" t="s">
        <v>4</v>
      </c>
      <c r="H45" s="1" t="s">
        <v>5</v>
      </c>
    </row>
    <row r="46" spans="2:24" x14ac:dyDescent="0.35">
      <c r="B46" s="1" t="s">
        <v>6</v>
      </c>
      <c r="C46">
        <v>0.1963948961954691</v>
      </c>
      <c r="D46">
        <v>0.41640355296031328</v>
      </c>
      <c r="E46">
        <v>0.3262392358663469</v>
      </c>
      <c r="F46">
        <v>0.5711735601954514</v>
      </c>
      <c r="G46">
        <v>0.55659375660599453</v>
      </c>
      <c r="H46">
        <v>14</v>
      </c>
    </row>
    <row r="47" spans="2:24" x14ac:dyDescent="0.35">
      <c r="B47" s="1" t="s">
        <v>7</v>
      </c>
      <c r="C47">
        <v>0.26706280890589101</v>
      </c>
      <c r="D47">
        <v>0.40591937177487281</v>
      </c>
      <c r="E47">
        <v>0.25503631538204452</v>
      </c>
      <c r="F47">
        <v>0.50501120322428938</v>
      </c>
      <c r="G47">
        <v>0.44612022195605339</v>
      </c>
      <c r="H47">
        <v>13</v>
      </c>
    </row>
    <row r="51" spans="2:24" x14ac:dyDescent="0.35">
      <c r="B51" s="13" t="s">
        <v>45</v>
      </c>
      <c r="D51" t="s">
        <v>47</v>
      </c>
      <c r="J51" s="13" t="s">
        <v>50</v>
      </c>
      <c r="R51" s="13" t="s">
        <v>51</v>
      </c>
    </row>
    <row r="52" spans="2:24" x14ac:dyDescent="0.35">
      <c r="C52" s="1" t="s">
        <v>0</v>
      </c>
      <c r="D52" s="1" t="s">
        <v>1</v>
      </c>
      <c r="E52" s="1" t="s">
        <v>2</v>
      </c>
      <c r="F52" s="1" t="s">
        <v>3</v>
      </c>
      <c r="G52" s="1" t="s">
        <v>4</v>
      </c>
      <c r="H52" s="1" t="s">
        <v>5</v>
      </c>
      <c r="K52" s="1" t="s">
        <v>0</v>
      </c>
      <c r="L52" s="1" t="s">
        <v>1</v>
      </c>
      <c r="M52" s="1" t="s">
        <v>2</v>
      </c>
      <c r="N52" s="1" t="s">
        <v>3</v>
      </c>
      <c r="O52" s="1" t="s">
        <v>4</v>
      </c>
      <c r="P52" s="1" t="s">
        <v>5</v>
      </c>
      <c r="S52" s="1" t="s">
        <v>0</v>
      </c>
      <c r="T52" s="1" t="s">
        <v>1</v>
      </c>
      <c r="U52" s="1" t="s">
        <v>2</v>
      </c>
      <c r="V52" s="1" t="s">
        <v>3</v>
      </c>
      <c r="W52" s="1" t="s">
        <v>4</v>
      </c>
      <c r="X52" s="1" t="s">
        <v>5</v>
      </c>
    </row>
    <row r="53" spans="2:24" x14ac:dyDescent="0.35">
      <c r="B53" s="1" t="s">
        <v>6</v>
      </c>
      <c r="C53">
        <f>C12-C46</f>
        <v>-0.13143563394540478</v>
      </c>
      <c r="D53">
        <f>D46/D12</f>
        <v>1.0053226852385022</v>
      </c>
      <c r="E53">
        <f t="shared" ref="E53:F54" si="5">E46/E12</f>
        <v>1.2697956912940611</v>
      </c>
      <c r="F53">
        <f t="shared" si="5"/>
        <v>1.1268521159824219</v>
      </c>
      <c r="G53">
        <f>G46/G12</f>
        <v>1.0669421282837552</v>
      </c>
      <c r="H53">
        <f>H12-H46</f>
        <v>0</v>
      </c>
      <c r="J53" s="9" t="s">
        <v>25</v>
      </c>
      <c r="K53">
        <f>C46-K20</f>
        <v>0.35450033685043314</v>
      </c>
      <c r="L53">
        <f>D46/L11</f>
        <v>0.84981125465384177</v>
      </c>
      <c r="M53">
        <f t="shared" ref="M53:N53" si="6">E46/M11</f>
        <v>0.86627650392062439</v>
      </c>
      <c r="N53">
        <f t="shared" si="6"/>
        <v>0.93073976113604584</v>
      </c>
      <c r="O53">
        <f>G46/O11</f>
        <v>0.9488484770433423</v>
      </c>
      <c r="R53" s="9" t="s">
        <v>25</v>
      </c>
      <c r="S53">
        <f>C46-S20</f>
        <v>7.6191716540505036E-2</v>
      </c>
      <c r="T53">
        <f>D46/T12</f>
        <v>0.77405699435689612</v>
      </c>
      <c r="U53">
        <f t="shared" ref="U53:V53" si="7">E46/U12</f>
        <v>0.72778985112153449</v>
      </c>
      <c r="V53">
        <f t="shared" si="7"/>
        <v>0.85310600229458711</v>
      </c>
      <c r="W53">
        <f>G46/W12</f>
        <v>0.86837847546503433</v>
      </c>
    </row>
    <row r="54" spans="2:24" x14ac:dyDescent="0.35">
      <c r="B54" s="1" t="s">
        <v>7</v>
      </c>
      <c r="C54">
        <f>C13-C47</f>
        <v>5.0618856581510274E-2</v>
      </c>
      <c r="D54">
        <f>D47/D13</f>
        <v>0.70943835839644864</v>
      </c>
      <c r="E54">
        <f t="shared" si="5"/>
        <v>0.52178614387843114</v>
      </c>
      <c r="F54">
        <f t="shared" si="5"/>
        <v>0.72234766136427075</v>
      </c>
      <c r="G54">
        <f>G47/G13</f>
        <v>0.68823501375928575</v>
      </c>
      <c r="H54">
        <f>H13-H47</f>
        <v>0</v>
      </c>
    </row>
    <row r="59" spans="2:24" x14ac:dyDescent="0.35">
      <c r="B59" s="11" t="s">
        <v>26</v>
      </c>
      <c r="C59" s="1" t="s">
        <v>0</v>
      </c>
      <c r="D59" s="1" t="s">
        <v>1</v>
      </c>
      <c r="E59" s="1" t="s">
        <v>2</v>
      </c>
      <c r="F59" s="1" t="s">
        <v>3</v>
      </c>
      <c r="G59" s="1" t="s">
        <v>4</v>
      </c>
      <c r="H59" s="1" t="s">
        <v>5</v>
      </c>
    </row>
    <row r="60" spans="2:24" x14ac:dyDescent="0.35">
      <c r="B60" s="1" t="s">
        <v>6</v>
      </c>
      <c r="C60">
        <v>0.52560710759483231</v>
      </c>
      <c r="D60">
        <v>0.5761581975655955</v>
      </c>
      <c r="E60">
        <v>0.41883396449506771</v>
      </c>
      <c r="F60">
        <v>0.64717382865430195</v>
      </c>
      <c r="G60">
        <v>0.39183943544146022</v>
      </c>
      <c r="H60">
        <v>14</v>
      </c>
    </row>
    <row r="61" spans="2:24" x14ac:dyDescent="0.35">
      <c r="B61" s="1" t="s">
        <v>7</v>
      </c>
      <c r="C61">
        <v>0.39320938409792011</v>
      </c>
      <c r="D61">
        <v>0.40647568237551018</v>
      </c>
      <c r="E61">
        <v>0.22833145546159969</v>
      </c>
      <c r="F61">
        <v>0.47784040794139598</v>
      </c>
      <c r="G61">
        <v>0.28259686603979151</v>
      </c>
      <c r="H61">
        <v>13</v>
      </c>
    </row>
    <row r="65" spans="2:24" x14ac:dyDescent="0.35">
      <c r="B65" s="13" t="s">
        <v>46</v>
      </c>
      <c r="D65" t="s">
        <v>47</v>
      </c>
      <c r="J65" s="13" t="s">
        <v>52</v>
      </c>
      <c r="R65" s="13" t="s">
        <v>53</v>
      </c>
    </row>
    <row r="66" spans="2:24" x14ac:dyDescent="0.35">
      <c r="C66" s="1" t="s">
        <v>0</v>
      </c>
      <c r="D66" s="1" t="s">
        <v>1</v>
      </c>
      <c r="E66" s="1" t="s">
        <v>2</v>
      </c>
      <c r="F66" s="1" t="s">
        <v>3</v>
      </c>
      <c r="G66" s="1" t="s">
        <v>4</v>
      </c>
      <c r="H66" s="1" t="s">
        <v>5</v>
      </c>
      <c r="K66" s="1" t="s">
        <v>0</v>
      </c>
      <c r="L66" s="1" t="s">
        <v>1</v>
      </c>
      <c r="M66" s="1" t="s">
        <v>2</v>
      </c>
      <c r="N66" s="1" t="s">
        <v>3</v>
      </c>
      <c r="O66" s="1" t="s">
        <v>4</v>
      </c>
      <c r="P66" s="1" t="s">
        <v>5</v>
      </c>
      <c r="S66" s="1" t="s">
        <v>0</v>
      </c>
      <c r="T66" s="1" t="s">
        <v>1</v>
      </c>
      <c r="U66" s="1" t="s">
        <v>2</v>
      </c>
      <c r="V66" s="1" t="s">
        <v>3</v>
      </c>
      <c r="W66" s="1" t="s">
        <v>4</v>
      </c>
      <c r="X66" s="1" t="s">
        <v>5</v>
      </c>
    </row>
    <row r="67" spans="2:24" x14ac:dyDescent="0.35">
      <c r="B67" s="1" t="s">
        <v>6</v>
      </c>
      <c r="C67">
        <f>C12-C60</f>
        <v>-0.46064784534476799</v>
      </c>
      <c r="D67">
        <f>D60/D12</f>
        <v>1.3910181653854066</v>
      </c>
      <c r="E67">
        <f t="shared" ref="E67:F68" si="8">E60/E12</f>
        <v>1.6301949766131973</v>
      </c>
      <c r="F67">
        <f t="shared" si="8"/>
        <v>1.2767908899319411</v>
      </c>
      <c r="G67">
        <f>G60/G12</f>
        <v>0.7511223333598458</v>
      </c>
      <c r="H67">
        <f>H12-H60</f>
        <v>0</v>
      </c>
      <c r="J67" s="9" t="s">
        <v>25</v>
      </c>
      <c r="K67">
        <f>K20-C60</f>
        <v>-0.68371254824979633</v>
      </c>
      <c r="L67">
        <f>D60/L11</f>
        <v>1.1758442435744063</v>
      </c>
      <c r="M67">
        <f t="shared" ref="M67:N67" si="9">E60/M11</f>
        <v>1.1121471073903695</v>
      </c>
      <c r="N67">
        <f t="shared" si="9"/>
        <v>1.0545838544926438</v>
      </c>
      <c r="O67">
        <f>G60/O11</f>
        <v>0.66798494800102892</v>
      </c>
      <c r="R67" s="9" t="s">
        <v>25</v>
      </c>
      <c r="S67">
        <f>S20-S60</f>
        <v>0.12020317965496406</v>
      </c>
      <c r="T67">
        <f>D60/T12</f>
        <v>1.0710266027058062</v>
      </c>
      <c r="U67">
        <f t="shared" ref="U67:V67" si="10">E60/U12</f>
        <v>0.93435453235731214</v>
      </c>
      <c r="V67">
        <f t="shared" si="10"/>
        <v>0.9666201593155439</v>
      </c>
      <c r="W67">
        <f>G60/W12</f>
        <v>0.61133443833543399</v>
      </c>
    </row>
    <row r="68" spans="2:24" x14ac:dyDescent="0.35">
      <c r="B68" s="1" t="s">
        <v>7</v>
      </c>
      <c r="C68">
        <f>C13-C61</f>
        <v>-7.5527718610518824E-2</v>
      </c>
      <c r="D68">
        <f>D61/D13</f>
        <v>0.71041064034877099</v>
      </c>
      <c r="E68">
        <f t="shared" si="8"/>
        <v>0.4671499017423687</v>
      </c>
      <c r="F68">
        <f t="shared" si="8"/>
        <v>0.68348365140826062</v>
      </c>
      <c r="G68">
        <f>G61/G13</f>
        <v>0.43596557254108542</v>
      </c>
      <c r="H68">
        <f>H13-H61</f>
        <v>0</v>
      </c>
    </row>
  </sheetData>
  <conditionalFormatting sqref="D20:G21 D38:G39 D53:G54 D67:G68">
    <cfRule type="cellIs" dxfId="51" priority="48" operator="greaterThan">
      <formula>0</formula>
    </cfRule>
    <cfRule type="cellIs" dxfId="50" priority="45" operator="lessThan">
      <formula>1</formula>
    </cfRule>
    <cfRule type="cellIs" dxfId="49" priority="46" operator="greaterThan">
      <formula>1</formula>
    </cfRule>
    <cfRule type="cellIs" dxfId="48" priority="47" operator="lessThan">
      <formula>0</formula>
    </cfRule>
  </conditionalFormatting>
  <conditionalFormatting sqref="L20:O20">
    <cfRule type="cellIs" dxfId="47" priority="5" operator="lessThan">
      <formula>1</formula>
    </cfRule>
    <cfRule type="cellIs" dxfId="46" priority="6" operator="greaterThan">
      <formula>1</formula>
    </cfRule>
    <cfRule type="cellIs" dxfId="45" priority="7" operator="lessThan">
      <formula>0</formula>
    </cfRule>
    <cfRule type="cellIs" dxfId="44" priority="8" operator="greaterThan">
      <formula>0</formula>
    </cfRule>
  </conditionalFormatting>
  <conditionalFormatting sqref="L38:O38">
    <cfRule type="cellIs" dxfId="43" priority="30" operator="greaterThan">
      <formula>1</formula>
    </cfRule>
    <cfRule type="cellIs" dxfId="42" priority="29" operator="lessThan">
      <formula>1</formula>
    </cfRule>
    <cfRule type="cellIs" dxfId="41" priority="31" operator="lessThan">
      <formula>0</formula>
    </cfRule>
    <cfRule type="cellIs" dxfId="40" priority="32" operator="greaterThan">
      <formula>0</formula>
    </cfRule>
  </conditionalFormatting>
  <conditionalFormatting sqref="L53:O53">
    <cfRule type="cellIs" dxfId="39" priority="28" operator="greaterThan">
      <formula>0</formula>
    </cfRule>
    <cfRule type="cellIs" dxfId="38" priority="27" operator="lessThan">
      <formula>0</formula>
    </cfRule>
    <cfRule type="cellIs" dxfId="37" priority="26" operator="greaterThan">
      <formula>1</formula>
    </cfRule>
    <cfRule type="cellIs" dxfId="36" priority="25" operator="lessThan">
      <formula>1</formula>
    </cfRule>
  </conditionalFormatting>
  <conditionalFormatting sqref="L67:O67">
    <cfRule type="cellIs" dxfId="35" priority="23" operator="lessThan">
      <formula>0</formula>
    </cfRule>
    <cfRule type="cellIs" dxfId="34" priority="22" operator="greaterThan">
      <formula>1</formula>
    </cfRule>
    <cfRule type="cellIs" dxfId="33" priority="21" operator="lessThan">
      <formula>1</formula>
    </cfRule>
    <cfRule type="cellIs" dxfId="32" priority="24" operator="greaterThan">
      <formula>0</formula>
    </cfRule>
  </conditionalFormatting>
  <conditionalFormatting sqref="T20:W21">
    <cfRule type="cellIs" dxfId="31" priority="3" operator="lessThan">
      <formula>0</formula>
    </cfRule>
    <cfRule type="cellIs" dxfId="30" priority="4" operator="greaterThan">
      <formula>0</formula>
    </cfRule>
    <cfRule type="cellIs" dxfId="29" priority="1" operator="lessThan">
      <formula>1</formula>
    </cfRule>
    <cfRule type="cellIs" dxfId="28" priority="2" operator="greaterThan">
      <formula>1</formula>
    </cfRule>
  </conditionalFormatting>
  <conditionalFormatting sqref="T38:W38">
    <cfRule type="cellIs" dxfId="27" priority="12" operator="greaterThan">
      <formula>0</formula>
    </cfRule>
    <cfRule type="cellIs" dxfId="26" priority="11" operator="lessThan">
      <formula>0</formula>
    </cfRule>
    <cfRule type="cellIs" dxfId="25" priority="10" operator="greaterThan">
      <formula>1</formula>
    </cfRule>
    <cfRule type="cellIs" dxfId="24" priority="9" operator="lessThan">
      <formula>1</formula>
    </cfRule>
  </conditionalFormatting>
  <conditionalFormatting sqref="T53:W53">
    <cfRule type="cellIs" dxfId="23" priority="14" operator="greaterThan">
      <formula>1</formula>
    </cfRule>
    <cfRule type="cellIs" dxfId="22" priority="13" operator="lessThan">
      <formula>1</formula>
    </cfRule>
    <cfRule type="cellIs" dxfId="21" priority="16" operator="greaterThan">
      <formula>0</formula>
    </cfRule>
    <cfRule type="cellIs" dxfId="20" priority="15" operator="lessThan">
      <formula>0</formula>
    </cfRule>
  </conditionalFormatting>
  <conditionalFormatting sqref="T67:W67">
    <cfRule type="cellIs" dxfId="19" priority="20" operator="greaterThan">
      <formula>0</formula>
    </cfRule>
    <cfRule type="cellIs" dxfId="18" priority="18" operator="greaterThan">
      <formula>1</formula>
    </cfRule>
    <cfRule type="cellIs" dxfId="17" priority="17" operator="lessThan">
      <formula>1</formula>
    </cfRule>
    <cfRule type="cellIs" dxfId="16" priority="19" operator="lessThan">
      <formula>0</formula>
    </cfRule>
  </conditionalFormatting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10A0-0D45-4C16-B1BE-B18E1B02119C}">
  <dimension ref="B2:N19"/>
  <sheetViews>
    <sheetView zoomScale="78" workbookViewId="0">
      <selection activeCell="I27" sqref="I27"/>
    </sheetView>
  </sheetViews>
  <sheetFormatPr baseColWidth="10" defaultRowHeight="14.5" x14ac:dyDescent="0.35"/>
  <cols>
    <col min="2" max="2" width="21.54296875" customWidth="1"/>
    <col min="10" max="10" width="15" customWidth="1"/>
  </cols>
  <sheetData>
    <row r="2" spans="2:14" x14ac:dyDescent="0.35">
      <c r="B2" s="3" t="s">
        <v>34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</row>
    <row r="3" spans="2:14" x14ac:dyDescent="0.35">
      <c r="B3" s="1" t="s">
        <v>6</v>
      </c>
      <c r="C3">
        <v>3.8482955255993308E-3</v>
      </c>
      <c r="D3">
        <v>0.33265637758149702</v>
      </c>
      <c r="E3">
        <v>0.19010041272982869</v>
      </c>
      <c r="F3">
        <v>0.43600506044061998</v>
      </c>
      <c r="G3">
        <v>0.44578678541334782</v>
      </c>
      <c r="H3">
        <v>23</v>
      </c>
    </row>
    <row r="4" spans="2:14" x14ac:dyDescent="0.35">
      <c r="B4" s="5"/>
    </row>
    <row r="5" spans="2:14" x14ac:dyDescent="0.35">
      <c r="B5" s="5"/>
    </row>
    <row r="6" spans="2:14" x14ac:dyDescent="0.35">
      <c r="B6" s="3" t="s">
        <v>37</v>
      </c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J6" s="15" t="s">
        <v>38</v>
      </c>
      <c r="K6" s="1" t="s">
        <v>1</v>
      </c>
      <c r="L6" s="1" t="s">
        <v>2</v>
      </c>
      <c r="M6" s="1" t="s">
        <v>3</v>
      </c>
      <c r="N6" s="1" t="s">
        <v>4</v>
      </c>
    </row>
    <row r="7" spans="2:14" x14ac:dyDescent="0.35">
      <c r="B7" s="1" t="s">
        <v>6</v>
      </c>
      <c r="C7">
        <v>1.2904451155538701E-2</v>
      </c>
      <c r="D7">
        <v>0.31601232949433439</v>
      </c>
      <c r="E7">
        <v>0.20686402811995089</v>
      </c>
      <c r="F7">
        <v>0.45482307342520661</v>
      </c>
      <c r="G7">
        <v>0.46485787539592432</v>
      </c>
      <c r="H7">
        <v>23</v>
      </c>
      <c r="K7">
        <f>D7/$D$3</f>
        <v>0.94996624382141892</v>
      </c>
      <c r="L7">
        <f>E7/$E$3</f>
        <v>1.0881829510488581</v>
      </c>
      <c r="M7">
        <f>F7/$F$3</f>
        <v>1.0431600793017619</v>
      </c>
      <c r="N7">
        <f>G7/$G$3</f>
        <v>1.0427807431862144</v>
      </c>
    </row>
    <row r="8" spans="2:14" x14ac:dyDescent="0.35">
      <c r="B8" s="5"/>
    </row>
    <row r="9" spans="2:14" x14ac:dyDescent="0.35">
      <c r="B9" s="5"/>
    </row>
    <row r="10" spans="2:14" x14ac:dyDescent="0.35">
      <c r="B10" s="11" t="s">
        <v>14</v>
      </c>
      <c r="C10" s="7" t="s">
        <v>0</v>
      </c>
      <c r="D10" s="7" t="s">
        <v>1</v>
      </c>
      <c r="E10" s="7" t="s">
        <v>2</v>
      </c>
      <c r="F10" s="7" t="s">
        <v>3</v>
      </c>
      <c r="G10" s="7" t="s">
        <v>4</v>
      </c>
      <c r="H10" s="7" t="s">
        <v>5</v>
      </c>
      <c r="J10" s="16" t="s">
        <v>39</v>
      </c>
      <c r="K10" s="1" t="s">
        <v>1</v>
      </c>
      <c r="L10" s="1" t="s">
        <v>2</v>
      </c>
      <c r="M10" s="1" t="s">
        <v>3</v>
      </c>
      <c r="N10" s="1" t="s">
        <v>4</v>
      </c>
    </row>
    <row r="11" spans="2:14" x14ac:dyDescent="0.35">
      <c r="B11" s="14" t="s">
        <v>6</v>
      </c>
      <c r="C11">
        <v>5.8407581407149779E-2</v>
      </c>
      <c r="D11">
        <v>0.44097912164745462</v>
      </c>
      <c r="E11">
        <v>0.26678667103841608</v>
      </c>
      <c r="F11">
        <v>0.51651396015830597</v>
      </c>
      <c r="G11">
        <v>0.52473500610348833</v>
      </c>
      <c r="H11">
        <v>23</v>
      </c>
      <c r="K11">
        <f>D11/$D$3</f>
        <v>1.3256295425733113</v>
      </c>
      <c r="L11">
        <f>E11/$E$3</f>
        <v>1.4033986944445731</v>
      </c>
      <c r="M11">
        <f>F11/$F$3</f>
        <v>1.184651296561386</v>
      </c>
      <c r="N11">
        <f>G11/$G$3</f>
        <v>1.1770986114290876</v>
      </c>
    </row>
    <row r="13" spans="2:14" x14ac:dyDescent="0.35">
      <c r="B13" s="5"/>
    </row>
    <row r="14" spans="2:14" x14ac:dyDescent="0.35">
      <c r="B14" s="3" t="s">
        <v>35</v>
      </c>
      <c r="C14" s="1" t="s">
        <v>0</v>
      </c>
      <c r="D14" s="1" t="s">
        <v>1</v>
      </c>
      <c r="E14" s="1" t="s">
        <v>2</v>
      </c>
      <c r="F14" s="1" t="s">
        <v>3</v>
      </c>
      <c r="G14" s="1" t="s">
        <v>4</v>
      </c>
      <c r="H14" s="1" t="s">
        <v>5</v>
      </c>
      <c r="J14" s="15" t="s">
        <v>40</v>
      </c>
      <c r="K14" s="1" t="s">
        <v>1</v>
      </c>
      <c r="L14" s="1" t="s">
        <v>2</v>
      </c>
      <c r="M14" s="1" t="s">
        <v>3</v>
      </c>
      <c r="N14" s="1" t="s">
        <v>4</v>
      </c>
    </row>
    <row r="15" spans="2:14" x14ac:dyDescent="0.35">
      <c r="B15" s="1" t="s">
        <v>6</v>
      </c>
      <c r="C15">
        <v>9.4948132382965553E-2</v>
      </c>
      <c r="D15">
        <v>0.53322198044125879</v>
      </c>
      <c r="E15">
        <v>0.40064345689442471</v>
      </c>
      <c r="F15">
        <v>0.63296402496068027</v>
      </c>
      <c r="G15">
        <v>0.6398668578903548</v>
      </c>
      <c r="H15">
        <v>23</v>
      </c>
      <c r="K15">
        <f>D15/$D$3</f>
        <v>1.6029212616271742</v>
      </c>
      <c r="L15">
        <f>E15/$E$3</f>
        <v>2.1075359655521657</v>
      </c>
      <c r="M15">
        <f>F15/$F$3</f>
        <v>1.4517355012371109</v>
      </c>
      <c r="N15">
        <f>G15/$G$3</f>
        <v>1.4353652437163424</v>
      </c>
    </row>
    <row r="18" spans="2:14" x14ac:dyDescent="0.35">
      <c r="B18" s="3" t="s">
        <v>36</v>
      </c>
      <c r="C18" s="1" t="s">
        <v>0</v>
      </c>
      <c r="D18" s="1" t="s">
        <v>1</v>
      </c>
      <c r="E18" s="1" t="s">
        <v>2</v>
      </c>
      <c r="F18" s="1" t="s">
        <v>3</v>
      </c>
      <c r="G18" s="1" t="s">
        <v>4</v>
      </c>
      <c r="H18" s="1" t="s">
        <v>5</v>
      </c>
      <c r="J18" s="15" t="s">
        <v>41</v>
      </c>
      <c r="K18" s="1" t="s">
        <v>1</v>
      </c>
      <c r="L18" s="1" t="s">
        <v>2</v>
      </c>
      <c r="M18" s="1" t="s">
        <v>3</v>
      </c>
      <c r="N18" s="1" t="s">
        <v>4</v>
      </c>
    </row>
    <row r="19" spans="2:14" x14ac:dyDescent="0.35">
      <c r="B19" s="1" t="s">
        <v>6</v>
      </c>
      <c r="C19">
        <v>8.6924158716889952E-2</v>
      </c>
      <c r="D19">
        <v>0.44894968827263049</v>
      </c>
      <c r="E19">
        <v>0.32629697954910769</v>
      </c>
      <c r="F19">
        <v>0.57122410623949316</v>
      </c>
      <c r="G19">
        <v>0.577260257759593</v>
      </c>
      <c r="H19">
        <v>23</v>
      </c>
      <c r="K19">
        <f>D19/$D$3</f>
        <v>1.3495899027597718</v>
      </c>
      <c r="L19">
        <f>E19/$E$3</f>
        <v>1.7164454030557104</v>
      </c>
      <c r="M19">
        <f>F19/$F$3</f>
        <v>1.3101318265944504</v>
      </c>
      <c r="N19">
        <f>G19/$G$3</f>
        <v>1.2949245618044483</v>
      </c>
    </row>
  </sheetData>
  <conditionalFormatting sqref="K7:N7">
    <cfRule type="cellIs" dxfId="15" priority="13" operator="lessThan">
      <formula>1</formula>
    </cfRule>
    <cfRule type="cellIs" dxfId="14" priority="14" operator="greaterThan">
      <formula>1</formula>
    </cfRule>
    <cfRule type="cellIs" dxfId="13" priority="15" operator="lessThan">
      <formula>0</formula>
    </cfRule>
    <cfRule type="cellIs" dxfId="12" priority="16" operator="greaterThan">
      <formula>0</formula>
    </cfRule>
  </conditionalFormatting>
  <conditionalFormatting sqref="K11:N11">
    <cfRule type="cellIs" dxfId="11" priority="9" operator="lessThan">
      <formula>1</formula>
    </cfRule>
    <cfRule type="cellIs" dxfId="10" priority="10" operator="greaterThan">
      <formula>1</formula>
    </cfRule>
    <cfRule type="cellIs" dxfId="9" priority="11" operator="lessThan">
      <formula>0</formula>
    </cfRule>
    <cfRule type="cellIs" dxfId="8" priority="12" operator="greaterThan">
      <formula>0</formula>
    </cfRule>
  </conditionalFormatting>
  <conditionalFormatting sqref="K15:N15">
    <cfRule type="cellIs" dxfId="7" priority="5" operator="lessThan">
      <formula>1</formula>
    </cfRule>
    <cfRule type="cellIs" dxfId="6" priority="6" operator="greaterThan">
      <formula>1</formula>
    </cfRule>
    <cfRule type="cellIs" dxfId="5" priority="7" operator="lessThan">
      <formula>0</formula>
    </cfRule>
    <cfRule type="cellIs" dxfId="4" priority="8" operator="greaterThan">
      <formula>0</formula>
    </cfRule>
  </conditionalFormatting>
  <conditionalFormatting sqref="K19:N19">
    <cfRule type="cellIs" dxfId="3" priority="1" operator="lessThan">
      <formula>1</formula>
    </cfRule>
    <cfRule type="cellIs" dxfId="2" priority="2" operator="greaterThan">
      <formula>1</formula>
    </cfRule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Naive - ifo</vt:lpstr>
      <vt:lpstr>Naive-ifo 2010-2018</vt:lpstr>
      <vt:lpstr>Naive-ifo sd filtered</vt:lpstr>
      <vt:lpstr>ifoCAST - ifo</vt:lpstr>
      <vt:lpstr>ifoCAST -ifo 2021 sample</vt:lpstr>
      <vt:lpstr>ifoCAST - ifo 2022 sample</vt:lpstr>
      <vt:lpstr>ifoCAST long_term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Ole Westphal</dc:creator>
  <cp:lastModifiedBy>Jan Ole Westphal</cp:lastModifiedBy>
  <dcterms:created xsi:type="dcterms:W3CDTF">2025-07-10T15:54:27Z</dcterms:created>
  <dcterms:modified xsi:type="dcterms:W3CDTF">2025-11-21T12:19:38Z</dcterms:modified>
</cp:coreProperties>
</file>