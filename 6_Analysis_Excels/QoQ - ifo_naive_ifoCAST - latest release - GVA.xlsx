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be04e23282f0d1/Desktop/ifo/Konjunkturprognose Evaluierung/ifo Forecast Evaluation Workfolder/3_Analysis_Excels/"/>
    </mc:Choice>
  </mc:AlternateContent>
  <xr:revisionPtr revIDLastSave="385" documentId="8_{C8633DC1-0678-44D8-A406-195500882EAF}" xr6:coauthVersionLast="47" xr6:coauthVersionMax="47" xr10:uidLastSave="{57647429-3F21-41A0-83B4-7A388360E9E9}"/>
  <bookViews>
    <workbookView xWindow="12710" yWindow="0" windowWidth="12980" windowHeight="15370" firstSheet="2" activeTab="2" xr2:uid="{00000000-000D-0000-FFFF-FFFF00000000}"/>
  </bookViews>
  <sheets>
    <sheet name="ifoCAST - ifo GVA" sheetId="2" r:id="rId1"/>
    <sheet name="ifoCAST -ifo 2021 sample GVA" sheetId="4" r:id="rId2"/>
    <sheet name="ifoCAST - ifo 2022 sample GVA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5" l="1"/>
  <c r="H68" i="5"/>
  <c r="G68" i="5"/>
  <c r="F68" i="5"/>
  <c r="E68" i="5"/>
  <c r="D68" i="5"/>
  <c r="C68" i="5"/>
  <c r="W67" i="5"/>
  <c r="V67" i="5"/>
  <c r="U67" i="5"/>
  <c r="T67" i="5"/>
  <c r="O67" i="5"/>
  <c r="N67" i="5"/>
  <c r="M67" i="5"/>
  <c r="L67" i="5"/>
  <c r="H67" i="5"/>
  <c r="F67" i="5"/>
  <c r="E67" i="5"/>
  <c r="D67" i="5"/>
  <c r="C67" i="5"/>
  <c r="H54" i="5"/>
  <c r="G54" i="5"/>
  <c r="F54" i="5"/>
  <c r="E54" i="5"/>
  <c r="D54" i="5"/>
  <c r="C54" i="5"/>
  <c r="W53" i="5"/>
  <c r="V53" i="5"/>
  <c r="U53" i="5"/>
  <c r="T53" i="5"/>
  <c r="O53" i="5"/>
  <c r="N53" i="5"/>
  <c r="M53" i="5"/>
  <c r="L53" i="5"/>
  <c r="H53" i="5"/>
  <c r="G53" i="5"/>
  <c r="F53" i="5"/>
  <c r="E53" i="5"/>
  <c r="D53" i="5"/>
  <c r="C53" i="5"/>
  <c r="H39" i="5"/>
  <c r="G39" i="5"/>
  <c r="F39" i="5"/>
  <c r="E39" i="5"/>
  <c r="D39" i="5"/>
  <c r="C39" i="5"/>
  <c r="W38" i="5"/>
  <c r="V38" i="5"/>
  <c r="U38" i="5"/>
  <c r="T38" i="5"/>
  <c r="S38" i="5"/>
  <c r="O38" i="5"/>
  <c r="N38" i="5"/>
  <c r="M38" i="5"/>
  <c r="L38" i="5"/>
  <c r="K38" i="5"/>
  <c r="H38" i="5"/>
  <c r="G38" i="5"/>
  <c r="F38" i="5"/>
  <c r="E38" i="5"/>
  <c r="D38" i="5"/>
  <c r="C38" i="5"/>
  <c r="X21" i="5"/>
  <c r="W21" i="5"/>
  <c r="V21" i="5"/>
  <c r="U21" i="5"/>
  <c r="T21" i="5"/>
  <c r="S21" i="5"/>
  <c r="H21" i="5"/>
  <c r="G21" i="5"/>
  <c r="F21" i="5"/>
  <c r="E21" i="5"/>
  <c r="D21" i="5"/>
  <c r="C21" i="5"/>
  <c r="X20" i="5"/>
  <c r="W20" i="5"/>
  <c r="V20" i="5"/>
  <c r="U20" i="5"/>
  <c r="T20" i="5"/>
  <c r="S20" i="5"/>
  <c r="S53" i="5" s="1"/>
  <c r="P20" i="5"/>
  <c r="O20" i="5"/>
  <c r="N20" i="5"/>
  <c r="M20" i="5"/>
  <c r="L20" i="5"/>
  <c r="K20" i="5"/>
  <c r="K53" i="5" s="1"/>
  <c r="H20" i="5"/>
  <c r="G20" i="5"/>
  <c r="F20" i="5"/>
  <c r="E20" i="5"/>
  <c r="D20" i="5"/>
  <c r="C20" i="5"/>
  <c r="H68" i="4"/>
  <c r="G68" i="4"/>
  <c r="F68" i="4"/>
  <c r="E68" i="4"/>
  <c r="D68" i="4"/>
  <c r="C68" i="4"/>
  <c r="W67" i="4"/>
  <c r="V67" i="4"/>
  <c r="U67" i="4"/>
  <c r="T67" i="4"/>
  <c r="O67" i="4"/>
  <c r="N67" i="4"/>
  <c r="M67" i="4"/>
  <c r="L67" i="4"/>
  <c r="H67" i="4"/>
  <c r="G67" i="4"/>
  <c r="F67" i="4"/>
  <c r="E67" i="4"/>
  <c r="D67" i="4"/>
  <c r="C67" i="4"/>
  <c r="H54" i="4"/>
  <c r="G54" i="4"/>
  <c r="F54" i="4"/>
  <c r="E54" i="4"/>
  <c r="D54" i="4"/>
  <c r="C54" i="4"/>
  <c r="W53" i="4"/>
  <c r="V53" i="4"/>
  <c r="U53" i="4"/>
  <c r="T53" i="4"/>
  <c r="O53" i="4"/>
  <c r="N53" i="4"/>
  <c r="M53" i="4"/>
  <c r="L53" i="4"/>
  <c r="H53" i="4"/>
  <c r="G53" i="4"/>
  <c r="F53" i="4"/>
  <c r="E53" i="4"/>
  <c r="D53" i="4"/>
  <c r="C53" i="4"/>
  <c r="H39" i="4"/>
  <c r="G39" i="4"/>
  <c r="F39" i="4"/>
  <c r="E39" i="4"/>
  <c r="D39" i="4"/>
  <c r="C39" i="4"/>
  <c r="W38" i="4"/>
  <c r="V38" i="4"/>
  <c r="U38" i="4"/>
  <c r="T38" i="4"/>
  <c r="S38" i="4"/>
  <c r="O38" i="4"/>
  <c r="N38" i="4"/>
  <c r="M38" i="4"/>
  <c r="L38" i="4"/>
  <c r="K38" i="4"/>
  <c r="H38" i="4"/>
  <c r="G38" i="4"/>
  <c r="F38" i="4"/>
  <c r="E38" i="4"/>
  <c r="D38" i="4"/>
  <c r="C38" i="4"/>
  <c r="X21" i="4"/>
  <c r="W21" i="4"/>
  <c r="V21" i="4"/>
  <c r="U21" i="4"/>
  <c r="T21" i="4"/>
  <c r="S21" i="4"/>
  <c r="H21" i="4"/>
  <c r="G21" i="4"/>
  <c r="F21" i="4"/>
  <c r="E21" i="4"/>
  <c r="D21" i="4"/>
  <c r="C21" i="4"/>
  <c r="X20" i="4"/>
  <c r="W20" i="4"/>
  <c r="V20" i="4"/>
  <c r="U20" i="4"/>
  <c r="T20" i="4"/>
  <c r="S20" i="4"/>
  <c r="S53" i="4" s="1"/>
  <c r="P20" i="4"/>
  <c r="O20" i="4"/>
  <c r="N20" i="4"/>
  <c r="M20" i="4"/>
  <c r="L20" i="4"/>
  <c r="K20" i="4"/>
  <c r="K53" i="4" s="1"/>
  <c r="H20" i="4"/>
  <c r="G20" i="4"/>
  <c r="F20" i="4"/>
  <c r="E20" i="4"/>
  <c r="D20" i="4"/>
  <c r="C20" i="4"/>
  <c r="C53" i="2"/>
  <c r="D53" i="2"/>
  <c r="E53" i="2"/>
  <c r="F53" i="2"/>
  <c r="G53" i="2"/>
  <c r="H53" i="2"/>
  <c r="L53" i="2"/>
  <c r="M53" i="2"/>
  <c r="N53" i="2"/>
  <c r="O53" i="2"/>
  <c r="T53" i="2"/>
  <c r="U53" i="2"/>
  <c r="V53" i="2"/>
  <c r="W53" i="2"/>
  <c r="C54" i="2"/>
  <c r="D54" i="2"/>
  <c r="E54" i="2"/>
  <c r="F54" i="2"/>
  <c r="G54" i="2"/>
  <c r="H54" i="2"/>
  <c r="C67" i="2"/>
  <c r="D67" i="2"/>
  <c r="E67" i="2"/>
  <c r="F67" i="2"/>
  <c r="G67" i="2"/>
  <c r="H67" i="2"/>
  <c r="L67" i="2"/>
  <c r="M67" i="2"/>
  <c r="N67" i="2"/>
  <c r="O67" i="2"/>
  <c r="T67" i="2"/>
  <c r="U67" i="2"/>
  <c r="V67" i="2"/>
  <c r="W67" i="2"/>
  <c r="C68" i="2"/>
  <c r="D68" i="2"/>
  <c r="E68" i="2"/>
  <c r="G68" i="2"/>
  <c r="U38" i="2"/>
  <c r="V38" i="2"/>
  <c r="W38" i="2"/>
  <c r="T38" i="2"/>
  <c r="S38" i="2"/>
  <c r="M38" i="2"/>
  <c r="N38" i="2"/>
  <c r="O38" i="2"/>
  <c r="L38" i="2"/>
  <c r="K38" i="2"/>
  <c r="K20" i="2"/>
  <c r="K53" i="2" s="1"/>
  <c r="P20" i="2"/>
  <c r="L20" i="2"/>
  <c r="M20" i="2"/>
  <c r="N20" i="2"/>
  <c r="O20" i="2"/>
  <c r="F20" i="2"/>
  <c r="F68" i="2"/>
  <c r="H68" i="2"/>
  <c r="H39" i="2"/>
  <c r="H38" i="2"/>
  <c r="E38" i="2"/>
  <c r="F38" i="2"/>
  <c r="G38" i="2"/>
  <c r="E39" i="2"/>
  <c r="F39" i="2"/>
  <c r="G39" i="2"/>
  <c r="D39" i="2"/>
  <c r="D38" i="2"/>
  <c r="C39" i="2"/>
  <c r="C38" i="2"/>
  <c r="T20" i="2"/>
  <c r="D20" i="2"/>
  <c r="K67" i="5" l="1"/>
  <c r="K67" i="4"/>
  <c r="K67" i="2"/>
  <c r="S67" i="5"/>
  <c r="S67" i="4"/>
  <c r="X21" i="2"/>
  <c r="C20" i="2"/>
  <c r="T21" i="2"/>
  <c r="U21" i="2"/>
  <c r="V21" i="2"/>
  <c r="W21" i="2"/>
  <c r="U20" i="2"/>
  <c r="V20" i="2"/>
  <c r="W20" i="2"/>
  <c r="D21" i="2"/>
  <c r="E21" i="2"/>
  <c r="F21" i="2"/>
  <c r="G21" i="2"/>
  <c r="E20" i="2"/>
  <c r="G20" i="2"/>
  <c r="S21" i="2"/>
  <c r="H21" i="2"/>
  <c r="C21" i="2"/>
  <c r="X20" i="2"/>
  <c r="S20" i="2"/>
  <c r="H20" i="2"/>
  <c r="S53" i="2" l="1"/>
  <c r="S67" i="2"/>
</calcChain>
</file>

<file path=xl/sharedStrings.xml><?xml version="1.0" encoding="utf-8"?>
<sst xmlns="http://schemas.openxmlformats.org/spreadsheetml/2006/main" count="519" uniqueCount="32">
  <si>
    <t>ME</t>
  </si>
  <si>
    <t>MAE</t>
  </si>
  <si>
    <t>MSE</t>
  </si>
  <si>
    <t>RMSE</t>
  </si>
  <si>
    <t>SE</t>
  </si>
  <si>
    <t>N</t>
  </si>
  <si>
    <t>Q0</t>
  </si>
  <si>
    <t>Q1</t>
  </si>
  <si>
    <t>Qminus1</t>
  </si>
  <si>
    <t>ifoCAST - Release matched</t>
  </si>
  <si>
    <t>ifo - ifoCAST Sample</t>
  </si>
  <si>
    <t>ifoCAST - all observations</t>
  </si>
  <si>
    <t>ifoCAST - last estimate before release</t>
  </si>
  <si>
    <t xml:space="preserve"> ifo/ifoCAST_matched</t>
  </si>
  <si>
    <t>ifo/ifoCAST_full</t>
  </si>
  <si>
    <t>ifo/ifoCAST_last_report</t>
  </si>
  <si>
    <t>Q0/Qminus1</t>
  </si>
  <si>
    <t>AR2-50  - ifoCAST sample</t>
  </si>
  <si>
    <t>Average1 - ifoCAST sample</t>
  </si>
  <si>
    <t>Average-10 - ifoCAST sample</t>
  </si>
  <si>
    <t>ifo Konjunkturprognose</t>
  </si>
  <si>
    <t>ifoCAST</t>
  </si>
  <si>
    <t>AVERAGE-1/ifoCAST_matched/</t>
  </si>
  <si>
    <t>AVERAGE-10/ifoCAST_matched</t>
  </si>
  <si>
    <t>AR2-50/ifoCAST_matched</t>
  </si>
  <si>
    <t>Rot bedeutet niedrigerer Fehler des Zählers</t>
  </si>
  <si>
    <t>AVERAGE-1/ifoCAST_last_report</t>
  </si>
  <si>
    <t>AVERAGE-1/ifoCAST_full</t>
  </si>
  <si>
    <t>AVERAGE-10/ifoCAST_last_report</t>
  </si>
  <si>
    <t>AVERAGE-10/ifoCAST_full</t>
  </si>
  <si>
    <t>AR2-50/ifoCAST_last_report</t>
  </si>
  <si>
    <t>AR2-50/ifoCAST_full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</si>
</sst>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2" fillId="0" borderId="4" xfId="0" applyFont="1" applyBorder="1" applyAlignment="1">
      <alignment horizontal="center" vertical="top"/>
    </xf>
    <xf numFmtId="0" fontId="0" fillId="0" borderId="3" xfId="0" applyBorder="1"/>
    <xf numFmtId="0" fontId="1" fillId="2" borderId="0" xfId="0" applyFont="1" applyFill="1"/>
    <xf numFmtId="0" fontId="0" fillId="3" borderId="0" xfId="0" applyFill="1"/>
  </cellXfs>
  <cellStyles count="1">
    <cellStyle name="Standard" xfId="0" builtinId="0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A7B0-F948-4EAD-A07B-76AE2D5A7E14}">
  <dimension ref="B2:X68"/>
  <sheetViews>
    <sheetView zoomScale="70" zoomScaleNormal="100" workbookViewId="0">
      <selection activeCell="E19" sqref="E19"/>
    </sheetView>
  </sheetViews>
  <sheetFormatPr baseColWidth="10" defaultRowHeight="14.5" x14ac:dyDescent="0.35"/>
  <cols>
    <col min="1" max="1" width="5.81640625" customWidth="1"/>
    <col min="2" max="2" width="23.7265625" customWidth="1"/>
    <col min="10" max="10" width="24.81640625" customWidth="1"/>
    <col min="18" max="18" width="24.26953125" customWidth="1"/>
  </cols>
  <sheetData>
    <row r="2" spans="2:24" x14ac:dyDescent="0.35">
      <c r="B2" s="12" t="s">
        <v>20</v>
      </c>
    </row>
    <row r="3" spans="2:24" x14ac:dyDescent="0.35">
      <c r="B3" s="3" t="s">
        <v>10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24" x14ac:dyDescent="0.35">
      <c r="B4" s="1" t="s">
        <v>6</v>
      </c>
      <c r="C4">
        <v>-0.1928197451935269</v>
      </c>
      <c r="D4">
        <v>0.72134616953191033</v>
      </c>
      <c r="E4">
        <v>0.87948526317624953</v>
      </c>
      <c r="F4">
        <v>0.93780875618446302</v>
      </c>
      <c r="G4">
        <v>0.93936979378209584</v>
      </c>
      <c r="H4">
        <v>22</v>
      </c>
    </row>
    <row r="5" spans="2:24" x14ac:dyDescent="0.35">
      <c r="B5" s="1" t="s">
        <v>7</v>
      </c>
      <c r="C5">
        <v>0.63627970327699834</v>
      </c>
      <c r="D5">
        <v>0.97566265080416004</v>
      </c>
      <c r="E5">
        <v>2.1531174701967779</v>
      </c>
      <c r="F5">
        <v>1.467350493303075</v>
      </c>
      <c r="G5">
        <v>1.354872278063227</v>
      </c>
      <c r="H5">
        <v>21</v>
      </c>
    </row>
    <row r="9" spans="2:24" x14ac:dyDescent="0.35">
      <c r="B9" s="12" t="s">
        <v>21</v>
      </c>
    </row>
    <row r="10" spans="2:24" ht="29" x14ac:dyDescent="0.35">
      <c r="B10" s="5" t="s">
        <v>9</v>
      </c>
      <c r="C10" s="6" t="s">
        <v>0</v>
      </c>
      <c r="D10" s="6" t="s">
        <v>1</v>
      </c>
      <c r="E10" s="6" t="s">
        <v>2</v>
      </c>
      <c r="F10" s="6" t="s">
        <v>3</v>
      </c>
      <c r="G10" s="6" t="s">
        <v>4</v>
      </c>
      <c r="H10" s="6" t="s">
        <v>5</v>
      </c>
      <c r="J10" s="5" t="s">
        <v>12</v>
      </c>
      <c r="K10" s="1" t="s">
        <v>0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  <c r="R10" s="5" t="s">
        <v>11</v>
      </c>
      <c r="S10" s="6" t="s">
        <v>0</v>
      </c>
      <c r="T10" s="6" t="s">
        <v>1</v>
      </c>
      <c r="U10" s="6" t="s">
        <v>2</v>
      </c>
      <c r="V10" s="6" t="s">
        <v>3</v>
      </c>
      <c r="W10" s="6" t="s">
        <v>4</v>
      </c>
      <c r="X10" s="6" t="s">
        <v>5</v>
      </c>
    </row>
    <row r="11" spans="2:24" x14ac:dyDescent="0.35">
      <c r="B11" s="1" t="s">
        <v>8</v>
      </c>
      <c r="C11">
        <v>-7.4726958347409153E-2</v>
      </c>
      <c r="D11">
        <v>0.80040255633103963</v>
      </c>
      <c r="E11">
        <v>1.3383004225317741</v>
      </c>
      <c r="F11">
        <v>1.1568493517013241</v>
      </c>
      <c r="G11">
        <v>1.181600180002369</v>
      </c>
      <c r="H11">
        <v>22</v>
      </c>
      <c r="J11" s="1" t="s">
        <v>8</v>
      </c>
      <c r="K11">
        <v>2.072315384140351E-2</v>
      </c>
      <c r="L11">
        <v>1.5894769585571431</v>
      </c>
      <c r="M11">
        <v>7.0719006393391259</v>
      </c>
      <c r="N11">
        <v>2.6593045405404641</v>
      </c>
      <c r="O11">
        <v>2.7248935299834551</v>
      </c>
      <c r="P11">
        <v>21</v>
      </c>
      <c r="R11" s="1" t="s">
        <v>8</v>
      </c>
      <c r="S11">
        <v>-5.9209780000000004E-3</v>
      </c>
      <c r="T11">
        <v>0.86222756</v>
      </c>
      <c r="U11">
        <v>1.4465818420000001</v>
      </c>
      <c r="V11">
        <v>1.202739308</v>
      </c>
      <c r="W11">
        <v>1.2163152749999999</v>
      </c>
      <c r="X11">
        <v>45</v>
      </c>
    </row>
    <row r="12" spans="2:24" x14ac:dyDescent="0.35">
      <c r="B12" s="1" t="s">
        <v>6</v>
      </c>
      <c r="C12">
        <v>9.2779741085634276E-2</v>
      </c>
      <c r="D12">
        <v>1.02812032128367</v>
      </c>
      <c r="E12">
        <v>1.5582922122102909</v>
      </c>
      <c r="F12">
        <v>1.2483157502051681</v>
      </c>
      <c r="G12">
        <v>1.2741580021032051</v>
      </c>
      <c r="H12">
        <v>22</v>
      </c>
      <c r="R12" s="1" t="s">
        <v>6</v>
      </c>
      <c r="S12">
        <v>9.8258175000000003E-2</v>
      </c>
      <c r="T12">
        <v>1.2519900509999999</v>
      </c>
      <c r="U12">
        <v>3.8009487229999999</v>
      </c>
      <c r="V12">
        <v>1.9496021960000001</v>
      </c>
      <c r="W12">
        <v>1.9542179340000001</v>
      </c>
      <c r="X12">
        <v>138</v>
      </c>
    </row>
    <row r="13" spans="2:24" x14ac:dyDescent="0.35">
      <c r="B13" s="1" t="s">
        <v>7</v>
      </c>
      <c r="C13">
        <v>9.1948142864780966E-2</v>
      </c>
      <c r="D13">
        <v>1.634640963739713</v>
      </c>
      <c r="E13">
        <v>10.81859291896148</v>
      </c>
      <c r="F13">
        <v>3.289162951111039</v>
      </c>
      <c r="G13">
        <v>3.3690718871648411</v>
      </c>
      <c r="H13">
        <v>21</v>
      </c>
      <c r="R13" s="1" t="s">
        <v>7</v>
      </c>
      <c r="S13">
        <v>0.15576701700000001</v>
      </c>
      <c r="T13">
        <v>1.451425065</v>
      </c>
      <c r="U13">
        <v>8.5236760549999993</v>
      </c>
      <c r="V13">
        <v>2.9195335340000002</v>
      </c>
      <c r="W13">
        <v>2.9377155899999998</v>
      </c>
      <c r="X13">
        <v>66</v>
      </c>
    </row>
    <row r="14" spans="2:24" x14ac:dyDescent="0.35">
      <c r="B14" s="4"/>
      <c r="R14" s="4"/>
    </row>
    <row r="15" spans="2:24" x14ac:dyDescent="0.35">
      <c r="B15" s="4"/>
      <c r="R15" s="4"/>
    </row>
    <row r="18" spans="2:24" x14ac:dyDescent="0.35">
      <c r="B18" s="11" t="s">
        <v>13</v>
      </c>
      <c r="D18" t="s">
        <v>25</v>
      </c>
      <c r="J18" s="11" t="s">
        <v>15</v>
      </c>
      <c r="L18" t="s">
        <v>25</v>
      </c>
      <c r="R18" s="2" t="s">
        <v>14</v>
      </c>
      <c r="T18" t="s">
        <v>25</v>
      </c>
    </row>
    <row r="19" spans="2:24" x14ac:dyDescent="0.35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X19" s="1" t="s">
        <v>5</v>
      </c>
    </row>
    <row r="20" spans="2:24" x14ac:dyDescent="0.35">
      <c r="B20" s="1" t="s">
        <v>6</v>
      </c>
      <c r="C20">
        <f>C12-C4</f>
        <v>0.28559948627916121</v>
      </c>
      <c r="D20">
        <f>D4/D12</f>
        <v>0.70161648845853597</v>
      </c>
      <c r="E20">
        <f t="shared" ref="D20:G21" si="0">E4/E12</f>
        <v>0.56439046302412199</v>
      </c>
      <c r="F20">
        <f>F4/F12</f>
        <v>0.75125925153978756</v>
      </c>
      <c r="G20">
        <f t="shared" si="0"/>
        <v>0.73724749382063537</v>
      </c>
      <c r="H20">
        <f>H12-H4</f>
        <v>0</v>
      </c>
      <c r="J20" s="7" t="s">
        <v>16</v>
      </c>
      <c r="K20">
        <f>C4-K11</f>
        <v>-0.2135428990349304</v>
      </c>
      <c r="L20">
        <f>D4/L11</f>
        <v>0.45382612541091283</v>
      </c>
      <c r="M20">
        <f>E4/M11</f>
        <v>0.1243633512444878</v>
      </c>
      <c r="N20">
        <f>F4/N11</f>
        <v>0.3526518839372445</v>
      </c>
      <c r="O20">
        <f>G4/O11</f>
        <v>0.34473632949166988</v>
      </c>
      <c r="P20">
        <f>H4-P11</f>
        <v>1</v>
      </c>
      <c r="R20" s="1" t="s">
        <v>6</v>
      </c>
      <c r="S20">
        <f>S12-C4</f>
        <v>0.29107792019352691</v>
      </c>
      <c r="T20">
        <f>D4/T12</f>
        <v>0.5761596659300533</v>
      </c>
      <c r="U20">
        <f t="shared" ref="T20:W21" si="1">E4/U12</f>
        <v>0.23138572163691079</v>
      </c>
      <c r="V20">
        <f t="shared" si="1"/>
        <v>0.4810256975030936</v>
      </c>
      <c r="W20">
        <f t="shared" si="1"/>
        <v>0.48068834976830982</v>
      </c>
      <c r="X20">
        <f>X12-H4</f>
        <v>116</v>
      </c>
    </row>
    <row r="21" spans="2:24" x14ac:dyDescent="0.35">
      <c r="B21" s="1" t="s">
        <v>7</v>
      </c>
      <c r="C21">
        <f>C13-C5</f>
        <v>-0.54433156041221742</v>
      </c>
      <c r="D21">
        <f t="shared" si="0"/>
        <v>0.59686663459849321</v>
      </c>
      <c r="E21">
        <f t="shared" si="0"/>
        <v>0.19902010236683018</v>
      </c>
      <c r="F21">
        <f t="shared" si="0"/>
        <v>0.44611669142370158</v>
      </c>
      <c r="G21">
        <f t="shared" si="0"/>
        <v>0.40215000553264718</v>
      </c>
      <c r="H21">
        <f>H13-H5</f>
        <v>0</v>
      </c>
      <c r="J21" s="10"/>
      <c r="R21" s="1" t="s">
        <v>7</v>
      </c>
      <c r="S21">
        <f>S13-C5</f>
        <v>-0.48051268627699834</v>
      </c>
      <c r="T21">
        <f t="shared" si="1"/>
        <v>0.67221014321132733</v>
      </c>
      <c r="U21">
        <f t="shared" si="1"/>
        <v>0.25260432896599305</v>
      </c>
      <c r="V21">
        <f t="shared" si="1"/>
        <v>0.50259758150223555</v>
      </c>
      <c r="W21">
        <f t="shared" si="1"/>
        <v>0.46119926744277756</v>
      </c>
      <c r="X21">
        <f>X13-H5</f>
        <v>45</v>
      </c>
    </row>
    <row r="22" spans="2:24" x14ac:dyDescent="0.35">
      <c r="J22" s="4"/>
    </row>
    <row r="30" spans="2:24" x14ac:dyDescent="0.35">
      <c r="B30" s="8" t="s">
        <v>18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</row>
    <row r="31" spans="2:24" x14ac:dyDescent="0.35">
      <c r="B31" s="1" t="s">
        <v>6</v>
      </c>
      <c r="C31">
        <v>-0.14022354080524199</v>
      </c>
      <c r="D31">
        <v>2.1741124051653951</v>
      </c>
      <c r="E31">
        <v>21.457007776257299</v>
      </c>
      <c r="F31">
        <v>4.6321709571492828</v>
      </c>
      <c r="G31">
        <v>4.7390052852538869</v>
      </c>
      <c r="H31">
        <v>22</v>
      </c>
    </row>
    <row r="32" spans="2:24" x14ac:dyDescent="0.35">
      <c r="B32" s="1" t="s">
        <v>7</v>
      </c>
      <c r="C32">
        <v>-0.2487788959053289</v>
      </c>
      <c r="D32">
        <v>2.475725881822799</v>
      </c>
      <c r="E32">
        <v>19.994696977879951</v>
      </c>
      <c r="F32">
        <v>4.4715430197952868</v>
      </c>
      <c r="G32">
        <v>4.5748711829704751</v>
      </c>
      <c r="H32">
        <v>21</v>
      </c>
    </row>
    <row r="36" spans="2:24" x14ac:dyDescent="0.35">
      <c r="B36" s="11" t="s">
        <v>22</v>
      </c>
      <c r="D36" t="s">
        <v>25</v>
      </c>
      <c r="J36" s="11" t="s">
        <v>26</v>
      </c>
      <c r="R36" s="11" t="s">
        <v>27</v>
      </c>
    </row>
    <row r="37" spans="2:24" x14ac:dyDescent="0.35"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1" t="s">
        <v>5</v>
      </c>
      <c r="K37" s="1" t="s">
        <v>0</v>
      </c>
      <c r="L37" s="1" t="s">
        <v>1</v>
      </c>
      <c r="M37" s="1" t="s">
        <v>2</v>
      </c>
      <c r="N37" s="1" t="s">
        <v>3</v>
      </c>
      <c r="O37" s="1" t="s">
        <v>4</v>
      </c>
      <c r="P37" s="1" t="s">
        <v>5</v>
      </c>
      <c r="S37" s="1" t="s">
        <v>0</v>
      </c>
      <c r="T37" s="1" t="s">
        <v>1</v>
      </c>
      <c r="U37" s="1" t="s">
        <v>2</v>
      </c>
      <c r="V37" s="1" t="s">
        <v>3</v>
      </c>
      <c r="W37" s="1" t="s">
        <v>4</v>
      </c>
      <c r="X37" s="1" t="s">
        <v>5</v>
      </c>
    </row>
    <row r="38" spans="2:24" x14ac:dyDescent="0.35">
      <c r="B38" s="1" t="s">
        <v>6</v>
      </c>
      <c r="C38">
        <f>C12-C31</f>
        <v>0.23300328189087627</v>
      </c>
      <c r="D38">
        <f>D31/D12</f>
        <v>2.114647828817239</v>
      </c>
      <c r="E38">
        <f t="shared" ref="E38:G38" si="2">E31/E12</f>
        <v>13.769566200823498</v>
      </c>
      <c r="F38">
        <f t="shared" si="2"/>
        <v>3.7107366116208644</v>
      </c>
      <c r="G38">
        <f t="shared" si="2"/>
        <v>3.7193230960613892</v>
      </c>
      <c r="H38">
        <f>H12-H31</f>
        <v>0</v>
      </c>
      <c r="J38" s="7" t="s">
        <v>16</v>
      </c>
      <c r="K38">
        <f>C31-K11</f>
        <v>-0.16094669464664552</v>
      </c>
      <c r="L38">
        <f>D31/L11</f>
        <v>1.3678162451244076</v>
      </c>
      <c r="M38">
        <f t="shared" ref="M38:O38" si="3">E31/M11</f>
        <v>3.0341217828906704</v>
      </c>
      <c r="N38">
        <f t="shared" si="3"/>
        <v>1.7418730673877099</v>
      </c>
      <c r="O38">
        <f t="shared" si="3"/>
        <v>1.7391524597596519</v>
      </c>
      <c r="R38" s="7" t="s">
        <v>16</v>
      </c>
      <c r="S38">
        <f>C31-S12</f>
        <v>-0.23848171580524199</v>
      </c>
      <c r="T38">
        <f>D31/T12</f>
        <v>1.7365253049965292</v>
      </c>
      <c r="U38">
        <f t="shared" ref="U38:W38" si="4">E31/U12</f>
        <v>5.6451715979272103</v>
      </c>
      <c r="V38">
        <f t="shared" si="4"/>
        <v>2.3759569858164453</v>
      </c>
      <c r="W38">
        <f t="shared" si="4"/>
        <v>2.4250137115228658</v>
      </c>
    </row>
    <row r="39" spans="2:24" x14ac:dyDescent="0.35">
      <c r="B39" s="1" t="s">
        <v>7</v>
      </c>
      <c r="C39">
        <f>C13-C32</f>
        <v>0.34072703877010985</v>
      </c>
      <c r="D39">
        <f>D32/D13</f>
        <v>1.5145380158336796</v>
      </c>
      <c r="E39">
        <f t="shared" ref="E39:G39" si="5">E32/E13</f>
        <v>1.8481790679854253</v>
      </c>
      <c r="F39">
        <f t="shared" si="5"/>
        <v>1.3594774981533992</v>
      </c>
      <c r="G39">
        <f t="shared" si="5"/>
        <v>1.3579025132706042</v>
      </c>
      <c r="H39">
        <f>H13-H32</f>
        <v>0</v>
      </c>
    </row>
    <row r="45" spans="2:24" x14ac:dyDescent="0.35">
      <c r="B45" s="9" t="s">
        <v>19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</row>
    <row r="46" spans="2:24" x14ac:dyDescent="0.35">
      <c r="B46" s="1" t="s">
        <v>6</v>
      </c>
      <c r="C46">
        <v>-2.656313719231285E-2</v>
      </c>
      <c r="D46">
        <v>1.540743550055983</v>
      </c>
      <c r="E46">
        <v>9.314719479571048</v>
      </c>
      <c r="F46">
        <v>3.0520025359706122</v>
      </c>
      <c r="G46">
        <v>3.1237058679967058</v>
      </c>
      <c r="H46">
        <v>22</v>
      </c>
    </row>
    <row r="47" spans="2:24" x14ac:dyDescent="0.35">
      <c r="B47" s="1" t="s">
        <v>7</v>
      </c>
      <c r="C47">
        <v>-0.1079932479918366</v>
      </c>
      <c r="D47">
        <v>1.5607420378209049</v>
      </c>
      <c r="E47">
        <v>9.1469871575248316</v>
      </c>
      <c r="F47">
        <v>3.0243986439497079</v>
      </c>
      <c r="G47">
        <v>3.09711007985003</v>
      </c>
      <c r="H47">
        <v>21</v>
      </c>
    </row>
    <row r="51" spans="2:24" x14ac:dyDescent="0.35">
      <c r="B51" s="11" t="s">
        <v>23</v>
      </c>
      <c r="D51" t="s">
        <v>25</v>
      </c>
      <c r="J51" s="11" t="s">
        <v>28</v>
      </c>
      <c r="R51" s="11" t="s">
        <v>29</v>
      </c>
    </row>
    <row r="52" spans="2:24" x14ac:dyDescent="0.35"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K52" s="1" t="s">
        <v>0</v>
      </c>
      <c r="L52" s="1" t="s">
        <v>1</v>
      </c>
      <c r="M52" s="1" t="s">
        <v>2</v>
      </c>
      <c r="N52" s="1" t="s">
        <v>3</v>
      </c>
      <c r="O52" s="1" t="s">
        <v>4</v>
      </c>
      <c r="P52" s="1" t="s">
        <v>5</v>
      </c>
      <c r="S52" s="1" t="s">
        <v>0</v>
      </c>
      <c r="T52" s="1" t="s">
        <v>1</v>
      </c>
      <c r="U52" s="1" t="s">
        <v>2</v>
      </c>
      <c r="V52" s="1" t="s">
        <v>3</v>
      </c>
      <c r="W52" s="1" t="s">
        <v>4</v>
      </c>
      <c r="X52" s="1" t="s">
        <v>5</v>
      </c>
    </row>
    <row r="53" spans="2:24" x14ac:dyDescent="0.35">
      <c r="B53" s="1" t="s">
        <v>6</v>
      </c>
      <c r="C53">
        <f>C12-C46</f>
        <v>0.11934287827794712</v>
      </c>
      <c r="D53">
        <f>D46/D12</f>
        <v>1.4986023699368882</v>
      </c>
      <c r="E53">
        <f t="shared" ref="E53:G54" si="6">E46/E12</f>
        <v>5.9775178279040455</v>
      </c>
      <c r="F53">
        <f t="shared" si="6"/>
        <v>2.4448962816250597</v>
      </c>
      <c r="G53">
        <f t="shared" si="6"/>
        <v>2.4515843897228766</v>
      </c>
      <c r="H53">
        <f>H12-H46</f>
        <v>0</v>
      </c>
      <c r="J53" s="7" t="s">
        <v>16</v>
      </c>
      <c r="K53">
        <f>C46-K20</f>
        <v>0.18697976184261755</v>
      </c>
      <c r="L53">
        <f>D46/L11</f>
        <v>0.96933997171912567</v>
      </c>
      <c r="M53">
        <f t="shared" ref="M53:O53" si="7">E46/M11</f>
        <v>1.317145128956664</v>
      </c>
      <c r="N53">
        <f t="shared" si="7"/>
        <v>1.1476694336596507</v>
      </c>
      <c r="O53">
        <f t="shared" si="7"/>
        <v>1.1463588700347027</v>
      </c>
      <c r="R53" s="7" t="s">
        <v>16</v>
      </c>
      <c r="S53">
        <f>C46-S20</f>
        <v>-0.31764105738583975</v>
      </c>
      <c r="T53">
        <f>D46/T12</f>
        <v>1.2306356179311069</v>
      </c>
      <c r="U53">
        <f t="shared" ref="U53:W53" si="8">E46/U12</f>
        <v>2.4506301343152974</v>
      </c>
      <c r="V53">
        <f t="shared" si="8"/>
        <v>1.5654488604046546</v>
      </c>
      <c r="W53">
        <f t="shared" si="8"/>
        <v>1.5984429441822459</v>
      </c>
    </row>
    <row r="54" spans="2:24" x14ac:dyDescent="0.35">
      <c r="B54" s="1" t="s">
        <v>7</v>
      </c>
      <c r="C54">
        <f>C13-C47</f>
        <v>0.19994139085661755</v>
      </c>
      <c r="D54">
        <f>D47/D13</f>
        <v>0.95479195275411244</v>
      </c>
      <c r="E54">
        <f t="shared" si="6"/>
        <v>0.84548769198008489</v>
      </c>
      <c r="F54">
        <f t="shared" si="6"/>
        <v>0.91950404674481179</v>
      </c>
      <c r="G54">
        <f t="shared" si="6"/>
        <v>0.91927693548157741</v>
      </c>
      <c r="H54">
        <f>H13-H47</f>
        <v>0</v>
      </c>
    </row>
    <row r="59" spans="2:24" x14ac:dyDescent="0.35">
      <c r="B59" s="9" t="s">
        <v>17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</row>
    <row r="60" spans="2:24" x14ac:dyDescent="0.35">
      <c r="B60" s="1" t="s">
        <v>6</v>
      </c>
      <c r="C60">
        <v>-0.2890612909677564</v>
      </c>
      <c r="D60">
        <v>2.030406504440776</v>
      </c>
      <c r="E60">
        <v>17.27526652731169</v>
      </c>
      <c r="F60">
        <v>4.156352550892632</v>
      </c>
      <c r="G60">
        <v>4.2438617978387958</v>
      </c>
      <c r="H60">
        <v>22</v>
      </c>
    </row>
    <row r="61" spans="2:24" x14ac:dyDescent="0.35">
      <c r="B61" s="1" t="s">
        <v>7</v>
      </c>
      <c r="C61">
        <v>-1.717479231196643E-2</v>
      </c>
      <c r="D61">
        <v>1.860338267257182</v>
      </c>
      <c r="E61">
        <v>11.47213377336106</v>
      </c>
      <c r="F61">
        <v>3.3870538486066408</v>
      </c>
      <c r="G61">
        <v>3.470652782959367</v>
      </c>
      <c r="H61">
        <v>21</v>
      </c>
    </row>
    <row r="65" spans="2:24" x14ac:dyDescent="0.35">
      <c r="B65" s="11" t="s">
        <v>24</v>
      </c>
      <c r="D65" t="s">
        <v>25</v>
      </c>
      <c r="J65" s="11" t="s">
        <v>30</v>
      </c>
      <c r="R65" s="11" t="s">
        <v>31</v>
      </c>
    </row>
    <row r="66" spans="2:24" x14ac:dyDescent="0.35">
      <c r="C66" s="1" t="s">
        <v>0</v>
      </c>
      <c r="D66" s="1" t="s">
        <v>1</v>
      </c>
      <c r="E66" s="1" t="s">
        <v>2</v>
      </c>
      <c r="F66" s="1" t="s">
        <v>3</v>
      </c>
      <c r="G66" s="1" t="s">
        <v>4</v>
      </c>
      <c r="H66" s="1" t="s">
        <v>5</v>
      </c>
      <c r="K66" s="1" t="s">
        <v>0</v>
      </c>
      <c r="L66" s="1" t="s">
        <v>1</v>
      </c>
      <c r="M66" s="1" t="s">
        <v>2</v>
      </c>
      <c r="N66" s="1" t="s">
        <v>3</v>
      </c>
      <c r="O66" s="1" t="s">
        <v>4</v>
      </c>
      <c r="P66" s="1" t="s">
        <v>5</v>
      </c>
      <c r="S66" s="1" t="s">
        <v>0</v>
      </c>
      <c r="T66" s="1" t="s">
        <v>1</v>
      </c>
      <c r="U66" s="1" t="s">
        <v>2</v>
      </c>
      <c r="V66" s="1" t="s">
        <v>3</v>
      </c>
      <c r="W66" s="1" t="s">
        <v>4</v>
      </c>
      <c r="X66" s="1" t="s">
        <v>5</v>
      </c>
    </row>
    <row r="67" spans="2:24" x14ac:dyDescent="0.35">
      <c r="B67" s="1" t="s">
        <v>6</v>
      </c>
      <c r="C67">
        <f>C12-C60</f>
        <v>0.38184103205339071</v>
      </c>
      <c r="D67">
        <f>D60/D12</f>
        <v>1.9748724564705533</v>
      </c>
      <c r="E67">
        <f t="shared" ref="E67:G68" si="9">E60/E12</f>
        <v>11.086025067665807</v>
      </c>
      <c r="F67">
        <f t="shared" si="9"/>
        <v>3.3295683004956969</v>
      </c>
      <c r="G67">
        <f t="shared" si="9"/>
        <v>3.3307186320955577</v>
      </c>
      <c r="H67">
        <f>H12-H60</f>
        <v>0</v>
      </c>
      <c r="J67" s="7" t="s">
        <v>16</v>
      </c>
      <c r="K67">
        <f>K20-C60</f>
        <v>7.5518391932826001E-2</v>
      </c>
      <c r="L67">
        <f>D60/L11</f>
        <v>1.2774054342278036</v>
      </c>
      <c r="M67">
        <f t="shared" ref="M67:O67" si="10">E60/M11</f>
        <v>2.4428039092084974</v>
      </c>
      <c r="N67">
        <f t="shared" si="10"/>
        <v>1.5629471869543439</v>
      </c>
      <c r="O67">
        <f t="shared" si="10"/>
        <v>1.5574413279422934</v>
      </c>
      <c r="R67" s="7" t="s">
        <v>16</v>
      </c>
      <c r="S67">
        <f>S20-S60</f>
        <v>0.29107792019352691</v>
      </c>
      <c r="T67">
        <f>D60/T12</f>
        <v>1.6217433220168425</v>
      </c>
      <c r="U67">
        <f t="shared" ref="U67:W67" si="11">E60/U12</f>
        <v>4.5449880506877047</v>
      </c>
      <c r="V67">
        <f t="shared" si="11"/>
        <v>2.1318977581273875</v>
      </c>
      <c r="W67">
        <f t="shared" si="11"/>
        <v>2.1716420282523083</v>
      </c>
    </row>
    <row r="68" spans="2:24" x14ac:dyDescent="0.35">
      <c r="B68" s="1" t="s">
        <v>7</v>
      </c>
      <c r="C68">
        <f>C13-C61</f>
        <v>0.1091229351767474</v>
      </c>
      <c r="D68">
        <f>D61/D13</f>
        <v>1.1380714839062402</v>
      </c>
      <c r="E68">
        <f t="shared" si="9"/>
        <v>1.060409043883529</v>
      </c>
      <c r="F68">
        <f t="shared" si="9"/>
        <v>1.02976164420876</v>
      </c>
      <c r="G68">
        <f t="shared" si="9"/>
        <v>1.0301510027677114</v>
      </c>
      <c r="H68">
        <f>H13-H61</f>
        <v>0</v>
      </c>
    </row>
  </sheetData>
  <phoneticPr fontId="3" type="noConversion"/>
  <conditionalFormatting sqref="D20:G21">
    <cfRule type="cellIs" dxfId="131" priority="47" operator="lessThan">
      <formula>0</formula>
    </cfRule>
    <cfRule type="cellIs" dxfId="130" priority="46" operator="greaterThan">
      <formula>1</formula>
    </cfRule>
    <cfRule type="cellIs" dxfId="129" priority="45" operator="lessThan">
      <formula>1</formula>
    </cfRule>
    <cfRule type="cellIs" dxfId="128" priority="48" operator="greaterThan">
      <formula>0</formula>
    </cfRule>
  </conditionalFormatting>
  <conditionalFormatting sqref="D38:G39">
    <cfRule type="cellIs" dxfId="127" priority="42" operator="greaterThan">
      <formula>1</formula>
    </cfRule>
    <cfRule type="cellIs" dxfId="126" priority="44" operator="greaterThan">
      <formula>0</formula>
    </cfRule>
    <cfRule type="cellIs" dxfId="125" priority="43" operator="lessThan">
      <formula>0</formula>
    </cfRule>
    <cfRule type="cellIs" dxfId="124" priority="41" operator="lessThan">
      <formula>1</formula>
    </cfRule>
  </conditionalFormatting>
  <conditionalFormatting sqref="D53:G54">
    <cfRule type="cellIs" dxfId="123" priority="40" operator="greaterThan">
      <formula>0</formula>
    </cfRule>
    <cfRule type="cellIs" dxfId="122" priority="39" operator="lessThan">
      <formula>0</formula>
    </cfRule>
    <cfRule type="cellIs" dxfId="121" priority="38" operator="greaterThan">
      <formula>1</formula>
    </cfRule>
    <cfRule type="cellIs" dxfId="120" priority="37" operator="lessThan">
      <formula>1</formula>
    </cfRule>
  </conditionalFormatting>
  <conditionalFormatting sqref="D67:G68">
    <cfRule type="cellIs" dxfId="119" priority="36" operator="greaterThan">
      <formula>0</formula>
    </cfRule>
    <cfRule type="cellIs" dxfId="118" priority="35" operator="lessThan">
      <formula>0</formula>
    </cfRule>
    <cfRule type="cellIs" dxfId="117" priority="34" operator="greaterThan">
      <formula>1</formula>
    </cfRule>
    <cfRule type="cellIs" dxfId="116" priority="33" operator="lessThan">
      <formula>1</formula>
    </cfRule>
  </conditionalFormatting>
  <conditionalFormatting sqref="L20:O20">
    <cfRule type="cellIs" dxfId="115" priority="7" operator="lessThan">
      <formula>0</formula>
    </cfRule>
    <cfRule type="cellIs" dxfId="114" priority="5" operator="lessThan">
      <formula>1</formula>
    </cfRule>
    <cfRule type="cellIs" dxfId="113" priority="6" operator="greaterThan">
      <formula>1</formula>
    </cfRule>
    <cfRule type="cellIs" dxfId="112" priority="8" operator="greaterThan">
      <formula>0</formula>
    </cfRule>
  </conditionalFormatting>
  <conditionalFormatting sqref="L38:O38">
    <cfRule type="cellIs" dxfId="111" priority="31" operator="lessThan">
      <formula>0</formula>
    </cfRule>
    <cfRule type="cellIs" dxfId="110" priority="32" operator="greaterThan">
      <formula>0</formula>
    </cfRule>
    <cfRule type="cellIs" dxfId="109" priority="30" operator="greaterThan">
      <formula>1</formula>
    </cfRule>
    <cfRule type="cellIs" dxfId="108" priority="29" operator="lessThan">
      <formula>1</formula>
    </cfRule>
  </conditionalFormatting>
  <conditionalFormatting sqref="L53:O53">
    <cfRule type="cellIs" dxfId="107" priority="25" operator="lessThan">
      <formula>1</formula>
    </cfRule>
    <cfRule type="cellIs" dxfId="106" priority="26" operator="greaterThan">
      <formula>1</formula>
    </cfRule>
    <cfRule type="cellIs" dxfId="105" priority="27" operator="lessThan">
      <formula>0</formula>
    </cfRule>
    <cfRule type="cellIs" dxfId="104" priority="28" operator="greaterThan">
      <formula>0</formula>
    </cfRule>
  </conditionalFormatting>
  <conditionalFormatting sqref="L67:O67">
    <cfRule type="cellIs" dxfId="103" priority="24" operator="greaterThan">
      <formula>0</formula>
    </cfRule>
    <cfRule type="cellIs" dxfId="102" priority="23" operator="lessThan">
      <formula>0</formula>
    </cfRule>
    <cfRule type="cellIs" dxfId="101" priority="22" operator="greaterThan">
      <formula>1</formula>
    </cfRule>
    <cfRule type="cellIs" dxfId="100" priority="21" operator="lessThan">
      <formula>1</formula>
    </cfRule>
  </conditionalFormatting>
  <conditionalFormatting sqref="T20:W21">
    <cfRule type="cellIs" dxfId="99" priority="1" operator="lessThan">
      <formula>1</formula>
    </cfRule>
    <cfRule type="cellIs" dxfId="98" priority="4" operator="greaterThan">
      <formula>0</formula>
    </cfRule>
    <cfRule type="cellIs" dxfId="97" priority="3" operator="lessThan">
      <formula>0</formula>
    </cfRule>
    <cfRule type="cellIs" dxfId="96" priority="2" operator="greaterThan">
      <formula>1</formula>
    </cfRule>
  </conditionalFormatting>
  <conditionalFormatting sqref="T38:W38">
    <cfRule type="cellIs" dxfId="95" priority="12" operator="greaterThan">
      <formula>0</formula>
    </cfRule>
    <cfRule type="cellIs" dxfId="94" priority="11" operator="lessThan">
      <formula>0</formula>
    </cfRule>
    <cfRule type="cellIs" dxfId="93" priority="10" operator="greaterThan">
      <formula>1</formula>
    </cfRule>
    <cfRule type="cellIs" dxfId="92" priority="9" operator="lessThan">
      <formula>1</formula>
    </cfRule>
  </conditionalFormatting>
  <conditionalFormatting sqref="T53:W53">
    <cfRule type="cellIs" dxfId="91" priority="16" operator="greaterThan">
      <formula>0</formula>
    </cfRule>
    <cfRule type="cellIs" dxfId="90" priority="15" operator="lessThan">
      <formula>0</formula>
    </cfRule>
    <cfRule type="cellIs" dxfId="89" priority="14" operator="greaterThan">
      <formula>1</formula>
    </cfRule>
    <cfRule type="cellIs" dxfId="88" priority="13" operator="lessThan">
      <formula>1</formula>
    </cfRule>
  </conditionalFormatting>
  <conditionalFormatting sqref="T67:W67">
    <cfRule type="cellIs" dxfId="87" priority="19" operator="lessThan">
      <formula>0</formula>
    </cfRule>
    <cfRule type="cellIs" dxfId="86" priority="20" operator="greaterThan">
      <formula>0</formula>
    </cfRule>
    <cfRule type="cellIs" dxfId="85" priority="18" operator="greaterThan">
      <formula>1</formula>
    </cfRule>
    <cfRule type="cellIs" dxfId="84" priority="17" operator="lessThan">
      <formula>1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F3A5-5AFF-4B8D-BE99-DBDC3650088B}">
  <dimension ref="B2:X68"/>
  <sheetViews>
    <sheetView topLeftCell="A22" zoomScale="75" workbookViewId="0">
      <selection activeCell="C60" sqref="C60:H61"/>
    </sheetView>
  </sheetViews>
  <sheetFormatPr baseColWidth="10" defaultRowHeight="14.5" x14ac:dyDescent="0.35"/>
  <sheetData>
    <row r="2" spans="2:24" x14ac:dyDescent="0.35">
      <c r="B2" s="12" t="s">
        <v>20</v>
      </c>
    </row>
    <row r="3" spans="2:24" x14ac:dyDescent="0.35">
      <c r="B3" s="3" t="s">
        <v>10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24" x14ac:dyDescent="0.35">
      <c r="B4" s="1" t="s">
        <v>6</v>
      </c>
      <c r="C4">
        <v>2.2661938901248509E-2</v>
      </c>
      <c r="D4">
        <v>0.3550306575569982</v>
      </c>
      <c r="E4">
        <v>0.28330122605121161</v>
      </c>
      <c r="F4">
        <v>0.53226048702793227</v>
      </c>
      <c r="G4">
        <v>0.54719487475971262</v>
      </c>
      <c r="H4">
        <v>18</v>
      </c>
    </row>
    <row r="5" spans="2:24" x14ac:dyDescent="0.35">
      <c r="B5" s="1" t="s">
        <v>7</v>
      </c>
      <c r="C5">
        <v>0.46019064126603232</v>
      </c>
      <c r="D5">
        <v>0.58825948521042593</v>
      </c>
      <c r="E5">
        <v>0.93630250963915918</v>
      </c>
      <c r="F5">
        <v>0.96762725759414159</v>
      </c>
      <c r="G5">
        <v>0.8773881843508391</v>
      </c>
      <c r="H5">
        <v>17</v>
      </c>
    </row>
    <row r="9" spans="2:24" x14ac:dyDescent="0.35">
      <c r="B9" s="12" t="s">
        <v>21</v>
      </c>
    </row>
    <row r="10" spans="2:24" ht="72.5" x14ac:dyDescent="0.35">
      <c r="B10" s="5" t="s">
        <v>9</v>
      </c>
      <c r="C10" s="6" t="s">
        <v>0</v>
      </c>
      <c r="D10" s="6" t="s">
        <v>1</v>
      </c>
      <c r="E10" s="6" t="s">
        <v>2</v>
      </c>
      <c r="F10" s="6" t="s">
        <v>3</v>
      </c>
      <c r="G10" s="6" t="s">
        <v>4</v>
      </c>
      <c r="H10" s="6" t="s">
        <v>5</v>
      </c>
      <c r="J10" s="5" t="s">
        <v>12</v>
      </c>
      <c r="K10" s="1" t="s">
        <v>0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  <c r="R10" s="5" t="s">
        <v>11</v>
      </c>
      <c r="S10" s="6" t="s">
        <v>0</v>
      </c>
      <c r="T10" s="6" t="s">
        <v>1</v>
      </c>
      <c r="U10" s="6" t="s">
        <v>2</v>
      </c>
      <c r="V10" s="6" t="s">
        <v>3</v>
      </c>
      <c r="W10" s="6" t="s">
        <v>4</v>
      </c>
      <c r="X10" s="6" t="s">
        <v>5</v>
      </c>
    </row>
    <row r="11" spans="2:24" x14ac:dyDescent="0.35">
      <c r="B11" s="1" t="s">
        <v>8</v>
      </c>
      <c r="C11">
        <v>-7.0923673172175711E-2</v>
      </c>
      <c r="D11">
        <v>0.5801452236932616</v>
      </c>
      <c r="E11">
        <v>0.54035145733066303</v>
      </c>
      <c r="F11">
        <v>0.73508602036133364</v>
      </c>
      <c r="G11">
        <v>0.75286836668600621</v>
      </c>
      <c r="H11">
        <v>18</v>
      </c>
      <c r="J11" s="1" t="s">
        <v>8</v>
      </c>
      <c r="K11">
        <v>6.192004997117951E-2</v>
      </c>
      <c r="L11">
        <v>0.75848862589914023</v>
      </c>
      <c r="M11">
        <v>0.78974939165329439</v>
      </c>
      <c r="N11">
        <v>0.88867845233993059</v>
      </c>
      <c r="O11">
        <v>0.91380249794822466</v>
      </c>
      <c r="P11">
        <v>17</v>
      </c>
      <c r="R11" s="1" t="s">
        <v>8</v>
      </c>
      <c r="S11">
        <v>-0.1160831847685747</v>
      </c>
      <c r="T11">
        <v>0.61893752366859522</v>
      </c>
      <c r="U11">
        <v>0.61918581838828235</v>
      </c>
      <c r="V11">
        <v>0.7868836117166772</v>
      </c>
      <c r="W11">
        <v>0.78872115921719987</v>
      </c>
      <c r="X11">
        <v>38</v>
      </c>
    </row>
    <row r="12" spans="2:24" x14ac:dyDescent="0.35">
      <c r="B12" s="1" t="s">
        <v>6</v>
      </c>
      <c r="C12">
        <v>-4.808639995102703E-2</v>
      </c>
      <c r="D12">
        <v>0.71292969853477794</v>
      </c>
      <c r="E12">
        <v>0.6757590979489233</v>
      </c>
      <c r="F12">
        <v>0.8220456787484034</v>
      </c>
      <c r="G12">
        <v>0.84442957877235325</v>
      </c>
      <c r="H12">
        <v>18</v>
      </c>
      <c r="R12" s="1" t="s">
        <v>6</v>
      </c>
      <c r="S12">
        <v>0.1134900750447578</v>
      </c>
      <c r="T12">
        <v>0.78727670201334454</v>
      </c>
      <c r="U12">
        <v>0.92034985077283671</v>
      </c>
      <c r="V12">
        <v>0.95934865965030502</v>
      </c>
      <c r="W12">
        <v>0.95678112205101506</v>
      </c>
      <c r="X12">
        <v>115</v>
      </c>
    </row>
    <row r="13" spans="2:24" x14ac:dyDescent="0.35">
      <c r="B13" s="1" t="s">
        <v>7</v>
      </c>
      <c r="C13">
        <v>0.21320924852534401</v>
      </c>
      <c r="D13">
        <v>0.70156746644136525</v>
      </c>
      <c r="E13">
        <v>0.64698355320734269</v>
      </c>
      <c r="F13">
        <v>0.80435287853487702</v>
      </c>
      <c r="G13">
        <v>0.79945025182778784</v>
      </c>
      <c r="H13">
        <v>17</v>
      </c>
      <c r="R13" s="1" t="s">
        <v>7</v>
      </c>
      <c r="S13">
        <v>2.439228017779637E-3</v>
      </c>
      <c r="T13">
        <v>0.68584743255784264</v>
      </c>
      <c r="U13">
        <v>0.56895073529018869</v>
      </c>
      <c r="V13">
        <v>0.75428823091056429</v>
      </c>
      <c r="W13">
        <v>0.76123636276938556</v>
      </c>
      <c r="X13">
        <v>55</v>
      </c>
    </row>
    <row r="14" spans="2:24" x14ac:dyDescent="0.35">
      <c r="B14" s="4"/>
      <c r="R14" s="4"/>
    </row>
    <row r="15" spans="2:24" x14ac:dyDescent="0.35">
      <c r="B15" s="4"/>
      <c r="R15" s="4"/>
    </row>
    <row r="18" spans="2:24" x14ac:dyDescent="0.35">
      <c r="B18" s="11" t="s">
        <v>13</v>
      </c>
      <c r="D18" t="s">
        <v>25</v>
      </c>
      <c r="J18" s="11" t="s">
        <v>15</v>
      </c>
      <c r="L18" t="s">
        <v>25</v>
      </c>
      <c r="R18" s="2" t="s">
        <v>14</v>
      </c>
      <c r="T18" t="s">
        <v>25</v>
      </c>
    </row>
    <row r="19" spans="2:24" x14ac:dyDescent="0.35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X19" s="1" t="s">
        <v>5</v>
      </c>
    </row>
    <row r="20" spans="2:24" x14ac:dyDescent="0.35">
      <c r="B20" s="1" t="s">
        <v>6</v>
      </c>
      <c r="C20">
        <f>C12-C4</f>
        <v>-7.0748338852275536E-2</v>
      </c>
      <c r="D20">
        <f>D4/D12</f>
        <v>0.49798831257368242</v>
      </c>
      <c r="E20">
        <f t="shared" ref="D20:G21" si="0">E4/E12</f>
        <v>0.41923405383825807</v>
      </c>
      <c r="F20">
        <f>F4/F12</f>
        <v>0.64748285987990306</v>
      </c>
      <c r="G20">
        <f t="shared" si="0"/>
        <v>0.64800533817779604</v>
      </c>
      <c r="H20">
        <f>H12-H4</f>
        <v>0</v>
      </c>
      <c r="J20" s="7" t="s">
        <v>16</v>
      </c>
      <c r="K20">
        <f>C4-K11</f>
        <v>-3.9258111069931004E-2</v>
      </c>
      <c r="L20">
        <f>D4/L11</f>
        <v>0.46807644232783563</v>
      </c>
      <c r="M20">
        <f>E4/M11</f>
        <v>0.35872294305683095</v>
      </c>
      <c r="N20">
        <f>F4/N11</f>
        <v>0.59893484040989886</v>
      </c>
      <c r="O20">
        <f>G4/O11</f>
        <v>0.59881087651690379</v>
      </c>
      <c r="P20">
        <f>H4-P11</f>
        <v>1</v>
      </c>
      <c r="R20" s="1" t="s">
        <v>6</v>
      </c>
      <c r="S20">
        <f>S12-C4</f>
        <v>9.0828136143509292E-2</v>
      </c>
      <c r="T20">
        <f>D4/T12</f>
        <v>0.45096045221338243</v>
      </c>
      <c r="U20">
        <f t="shared" ref="T20:W21" si="1">E4/U12</f>
        <v>0.30781906012514454</v>
      </c>
      <c r="V20">
        <f t="shared" si="1"/>
        <v>0.55481443756011306</v>
      </c>
      <c r="W20">
        <f t="shared" si="1"/>
        <v>0.57191228186725918</v>
      </c>
      <c r="X20">
        <f>X12-H4</f>
        <v>97</v>
      </c>
    </row>
    <row r="21" spans="2:24" x14ac:dyDescent="0.35">
      <c r="B21" s="1" t="s">
        <v>7</v>
      </c>
      <c r="C21">
        <f>C13-C5</f>
        <v>-0.24698139274068831</v>
      </c>
      <c r="D21">
        <f t="shared" si="0"/>
        <v>0.83849310771823082</v>
      </c>
      <c r="E21">
        <f t="shared" si="0"/>
        <v>1.4471813155026163</v>
      </c>
      <c r="F21">
        <f t="shared" si="0"/>
        <v>1.2029884935038309</v>
      </c>
      <c r="G21">
        <f t="shared" si="0"/>
        <v>1.0974894089342786</v>
      </c>
      <c r="H21">
        <f>H13-H5</f>
        <v>0</v>
      </c>
      <c r="J21" s="10"/>
      <c r="R21" s="1" t="s">
        <v>7</v>
      </c>
      <c r="S21">
        <f>S13-C5</f>
        <v>-0.45775141324825269</v>
      </c>
      <c r="T21">
        <f t="shared" si="1"/>
        <v>0.8577118718904202</v>
      </c>
      <c r="U21">
        <f t="shared" si="1"/>
        <v>1.6456653477415857</v>
      </c>
      <c r="V21">
        <f t="shared" si="1"/>
        <v>1.282834887170436</v>
      </c>
      <c r="W21">
        <f t="shared" si="1"/>
        <v>1.1525831230117438</v>
      </c>
      <c r="X21">
        <f>X13-H5</f>
        <v>38</v>
      </c>
    </row>
    <row r="22" spans="2:24" x14ac:dyDescent="0.35">
      <c r="J22" s="4"/>
    </row>
    <row r="30" spans="2:24" x14ac:dyDescent="0.35">
      <c r="B30" s="8" t="s">
        <v>18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</row>
    <row r="31" spans="2:24" x14ac:dyDescent="0.35">
      <c r="B31" s="1" t="s">
        <v>6</v>
      </c>
      <c r="C31">
        <v>-8.2458547962965395E-2</v>
      </c>
      <c r="D31">
        <v>0.70825307842667751</v>
      </c>
      <c r="E31">
        <v>1.126232045301014</v>
      </c>
      <c r="F31">
        <v>1.0612408045778361</v>
      </c>
      <c r="G31">
        <v>1.0887063936574219</v>
      </c>
      <c r="H31">
        <v>18</v>
      </c>
    </row>
    <row r="32" spans="2:24" x14ac:dyDescent="0.35">
      <c r="B32" s="1" t="s">
        <v>7</v>
      </c>
      <c r="C32">
        <v>-0.13805379325089639</v>
      </c>
      <c r="D32">
        <v>0.70476651569139859</v>
      </c>
      <c r="E32">
        <v>1.0201075562314661</v>
      </c>
      <c r="F32">
        <v>1.0100037407017191</v>
      </c>
      <c r="G32">
        <v>1.031316755682044</v>
      </c>
      <c r="H32">
        <v>17</v>
      </c>
    </row>
    <row r="36" spans="2:24" x14ac:dyDescent="0.35">
      <c r="B36" s="11" t="s">
        <v>22</v>
      </c>
      <c r="D36" t="s">
        <v>25</v>
      </c>
      <c r="J36" s="11" t="s">
        <v>26</v>
      </c>
      <c r="R36" s="11" t="s">
        <v>27</v>
      </c>
    </row>
    <row r="37" spans="2:24" x14ac:dyDescent="0.35"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1" t="s">
        <v>5</v>
      </c>
      <c r="K37" s="1" t="s">
        <v>0</v>
      </c>
      <c r="L37" s="1" t="s">
        <v>1</v>
      </c>
      <c r="M37" s="1" t="s">
        <v>2</v>
      </c>
      <c r="N37" s="1" t="s">
        <v>3</v>
      </c>
      <c r="O37" s="1" t="s">
        <v>4</v>
      </c>
      <c r="P37" s="1" t="s">
        <v>5</v>
      </c>
      <c r="S37" s="1" t="s">
        <v>0</v>
      </c>
      <c r="T37" s="1" t="s">
        <v>1</v>
      </c>
      <c r="U37" s="1" t="s">
        <v>2</v>
      </c>
      <c r="V37" s="1" t="s">
        <v>3</v>
      </c>
      <c r="W37" s="1" t="s">
        <v>4</v>
      </c>
      <c r="X37" s="1" t="s">
        <v>5</v>
      </c>
    </row>
    <row r="38" spans="2:24" x14ac:dyDescent="0.35">
      <c r="B38" s="1" t="s">
        <v>6</v>
      </c>
      <c r="C38">
        <f>C12-C31</f>
        <v>3.4372148011938365E-2</v>
      </c>
      <c r="D38">
        <f>D31/D12</f>
        <v>0.99344027872914831</v>
      </c>
      <c r="E38">
        <f t="shared" ref="E38:G39" si="2">E31/E12</f>
        <v>1.6666176581556573</v>
      </c>
      <c r="F38">
        <f t="shared" si="2"/>
        <v>1.2909754676815728</v>
      </c>
      <c r="G38">
        <f t="shared" si="2"/>
        <v>1.2892802680363267</v>
      </c>
      <c r="H38">
        <f>H12-H31</f>
        <v>0</v>
      </c>
      <c r="J38" s="7" t="s">
        <v>16</v>
      </c>
      <c r="K38">
        <f>C31-K11</f>
        <v>-0.1443785979341449</v>
      </c>
      <c r="L38">
        <f>D31/L11</f>
        <v>0.93376888491516707</v>
      </c>
      <c r="M38">
        <f t="shared" ref="M38:O38" si="3">E31/M11</f>
        <v>1.4260625677005117</v>
      </c>
      <c r="N38">
        <f t="shared" si="3"/>
        <v>1.1941786163302834</v>
      </c>
      <c r="O38">
        <f t="shared" si="3"/>
        <v>1.1914022954652803</v>
      </c>
      <c r="R38" s="7" t="s">
        <v>16</v>
      </c>
      <c r="S38">
        <f>C31-S12</f>
        <v>-0.1959486230077232</v>
      </c>
      <c r="T38">
        <f>D31/T12</f>
        <v>0.89962407958399415</v>
      </c>
      <c r="U38">
        <f t="shared" ref="U38:W38" si="4">E31/U12</f>
        <v>1.2236999271041265</v>
      </c>
      <c r="V38">
        <f t="shared" si="4"/>
        <v>1.106209712081812</v>
      </c>
      <c r="W38">
        <f t="shared" si="4"/>
        <v>1.1378844843046272</v>
      </c>
    </row>
    <row r="39" spans="2:24" x14ac:dyDescent="0.35">
      <c r="B39" s="1" t="s">
        <v>7</v>
      </c>
      <c r="C39">
        <f>C13-C32</f>
        <v>0.3512630417762404</v>
      </c>
      <c r="D39">
        <f>D32/D13</f>
        <v>1.0045598597470036</v>
      </c>
      <c r="E39">
        <f t="shared" si="2"/>
        <v>1.5767132737368768</v>
      </c>
      <c r="F39">
        <f t="shared" si="2"/>
        <v>1.2556724388696583</v>
      </c>
      <c r="G39">
        <f t="shared" si="2"/>
        <v>1.2900324358196629</v>
      </c>
      <c r="H39">
        <f>H13-H32</f>
        <v>0</v>
      </c>
    </row>
    <row r="45" spans="2:24" x14ac:dyDescent="0.35">
      <c r="B45" s="9" t="s">
        <v>19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</row>
    <row r="46" spans="2:24" x14ac:dyDescent="0.35">
      <c r="B46" s="1" t="s">
        <v>6</v>
      </c>
      <c r="C46">
        <v>-7.0631821928876487E-2</v>
      </c>
      <c r="D46">
        <v>0.63746683234864709</v>
      </c>
      <c r="E46">
        <v>0.73233837395084878</v>
      </c>
      <c r="F46">
        <v>0.85576771027589538</v>
      </c>
      <c r="G46">
        <v>0.87757323657088282</v>
      </c>
      <c r="H46">
        <v>18</v>
      </c>
    </row>
    <row r="47" spans="2:24" x14ac:dyDescent="0.35">
      <c r="B47" s="1" t="s">
        <v>7</v>
      </c>
      <c r="C47">
        <v>-9.8709628820749712E-2</v>
      </c>
      <c r="D47">
        <v>0.70599194929829179</v>
      </c>
      <c r="E47">
        <v>0.87964558501576806</v>
      </c>
      <c r="F47">
        <v>0.937894229119557</v>
      </c>
      <c r="G47">
        <v>0.96139007111107233</v>
      </c>
      <c r="H47">
        <v>17</v>
      </c>
    </row>
    <row r="51" spans="2:24" x14ac:dyDescent="0.35">
      <c r="B51" s="11" t="s">
        <v>23</v>
      </c>
      <c r="D51" t="s">
        <v>25</v>
      </c>
      <c r="J51" s="11" t="s">
        <v>28</v>
      </c>
      <c r="R51" s="11" t="s">
        <v>29</v>
      </c>
    </row>
    <row r="52" spans="2:24" x14ac:dyDescent="0.35"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K52" s="1" t="s">
        <v>0</v>
      </c>
      <c r="L52" s="1" t="s">
        <v>1</v>
      </c>
      <c r="M52" s="1" t="s">
        <v>2</v>
      </c>
      <c r="N52" s="1" t="s">
        <v>3</v>
      </c>
      <c r="O52" s="1" t="s">
        <v>4</v>
      </c>
      <c r="P52" s="1" t="s">
        <v>5</v>
      </c>
      <c r="S52" s="1" t="s">
        <v>0</v>
      </c>
      <c r="T52" s="1" t="s">
        <v>1</v>
      </c>
      <c r="U52" s="1" t="s">
        <v>2</v>
      </c>
      <c r="V52" s="1" t="s">
        <v>3</v>
      </c>
      <c r="W52" s="1" t="s">
        <v>4</v>
      </c>
      <c r="X52" s="1" t="s">
        <v>5</v>
      </c>
    </row>
    <row r="53" spans="2:24" x14ac:dyDescent="0.35">
      <c r="B53" s="1" t="s">
        <v>6</v>
      </c>
      <c r="C53">
        <f>C12-C46</f>
        <v>2.2545421977849457E-2</v>
      </c>
      <c r="D53">
        <f>D46/D12</f>
        <v>0.89415104134219259</v>
      </c>
      <c r="E53">
        <f t="shared" ref="E53:G54" si="5">E46/E12</f>
        <v>1.0837269911328695</v>
      </c>
      <c r="F53">
        <f t="shared" si="5"/>
        <v>1.0410220896469344</v>
      </c>
      <c r="G53">
        <f t="shared" si="5"/>
        <v>1.0392497594017425</v>
      </c>
      <c r="H53">
        <f>H12-H46</f>
        <v>0</v>
      </c>
      <c r="J53" s="7" t="s">
        <v>16</v>
      </c>
      <c r="K53">
        <f>C46-K20</f>
        <v>-3.1373710858945483E-2</v>
      </c>
      <c r="L53">
        <f>D46/L11</f>
        <v>0.84044349589681788</v>
      </c>
      <c r="M53">
        <f t="shared" ref="M53:O53" si="6">E46/M11</f>
        <v>0.92730476489224134</v>
      </c>
      <c r="N53">
        <f t="shared" si="6"/>
        <v>0.96296664786078734</v>
      </c>
      <c r="O53">
        <f t="shared" si="6"/>
        <v>0.9603532913745717</v>
      </c>
      <c r="R53" s="7" t="s">
        <v>16</v>
      </c>
      <c r="S53">
        <f>C46-S20</f>
        <v>-0.16145995807238578</v>
      </c>
      <c r="T53">
        <f>D46/T12</f>
        <v>0.80971128793525748</v>
      </c>
      <c r="U53">
        <f t="shared" ref="U53:W53" si="7">E46/U12</f>
        <v>0.79571738218449117</v>
      </c>
      <c r="V53">
        <f t="shared" si="7"/>
        <v>0.89202992224728161</v>
      </c>
      <c r="W53">
        <f t="shared" si="7"/>
        <v>0.91721420536565634</v>
      </c>
    </row>
    <row r="54" spans="2:24" x14ac:dyDescent="0.35">
      <c r="B54" s="1" t="s">
        <v>7</v>
      </c>
      <c r="C54">
        <f>C13-C47</f>
        <v>0.31191887734609369</v>
      </c>
      <c r="D54">
        <f>D47/D13</f>
        <v>1.0063065678905685</v>
      </c>
      <c r="E54">
        <f t="shared" si="5"/>
        <v>1.3596104269653093</v>
      </c>
      <c r="F54">
        <f t="shared" si="5"/>
        <v>1.16602333894537</v>
      </c>
      <c r="G54">
        <f t="shared" si="5"/>
        <v>1.2025639730715458</v>
      </c>
      <c r="H54">
        <f>H13-H47</f>
        <v>0</v>
      </c>
    </row>
    <row r="59" spans="2:24" x14ac:dyDescent="0.35">
      <c r="B59" s="9" t="s">
        <v>17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</row>
    <row r="60" spans="2:24" x14ac:dyDescent="0.35">
      <c r="B60" s="1" t="s">
        <v>6</v>
      </c>
      <c r="C60">
        <v>0.21886591292175331</v>
      </c>
      <c r="D60">
        <v>0.70501431718745533</v>
      </c>
      <c r="E60">
        <v>0.65920049269063652</v>
      </c>
      <c r="F60">
        <v>0.8119116286213891</v>
      </c>
      <c r="G60">
        <v>0.80452279196055654</v>
      </c>
      <c r="H60">
        <v>18</v>
      </c>
    </row>
    <row r="61" spans="2:24" x14ac:dyDescent="0.35">
      <c r="B61" s="1" t="s">
        <v>7</v>
      </c>
      <c r="C61">
        <v>0.12735442836306371</v>
      </c>
      <c r="D61">
        <v>0.60501628135026764</v>
      </c>
      <c r="E61">
        <v>0.4865958870408279</v>
      </c>
      <c r="F61">
        <v>0.69756425298378633</v>
      </c>
      <c r="G61">
        <v>0.70694786417084299</v>
      </c>
      <c r="H61">
        <v>17</v>
      </c>
    </row>
    <row r="65" spans="2:24" x14ac:dyDescent="0.35">
      <c r="B65" s="11" t="s">
        <v>24</v>
      </c>
      <c r="D65" t="s">
        <v>25</v>
      </c>
      <c r="J65" s="11" t="s">
        <v>30</v>
      </c>
      <c r="R65" s="11" t="s">
        <v>31</v>
      </c>
    </row>
    <row r="66" spans="2:24" x14ac:dyDescent="0.35">
      <c r="C66" s="1" t="s">
        <v>0</v>
      </c>
      <c r="D66" s="1" t="s">
        <v>1</v>
      </c>
      <c r="E66" s="1" t="s">
        <v>2</v>
      </c>
      <c r="F66" s="1" t="s">
        <v>3</v>
      </c>
      <c r="G66" s="1" t="s">
        <v>4</v>
      </c>
      <c r="H66" s="1" t="s">
        <v>5</v>
      </c>
      <c r="K66" s="1" t="s">
        <v>0</v>
      </c>
      <c r="L66" s="1" t="s">
        <v>1</v>
      </c>
      <c r="M66" s="1" t="s">
        <v>2</v>
      </c>
      <c r="N66" s="1" t="s">
        <v>3</v>
      </c>
      <c r="O66" s="1" t="s">
        <v>4</v>
      </c>
      <c r="P66" s="1" t="s">
        <v>5</v>
      </c>
      <c r="S66" s="1" t="s">
        <v>0</v>
      </c>
      <c r="T66" s="1" t="s">
        <v>1</v>
      </c>
      <c r="U66" s="1" t="s">
        <v>2</v>
      </c>
      <c r="V66" s="1" t="s">
        <v>3</v>
      </c>
      <c r="W66" s="1" t="s">
        <v>4</v>
      </c>
      <c r="X66" s="1" t="s">
        <v>5</v>
      </c>
    </row>
    <row r="67" spans="2:24" x14ac:dyDescent="0.35">
      <c r="B67" s="1" t="s">
        <v>6</v>
      </c>
      <c r="C67">
        <f>C12-C60</f>
        <v>-0.26695231287278032</v>
      </c>
      <c r="D67">
        <f>D60/D12</f>
        <v>0.98889738867157528</v>
      </c>
      <c r="E67">
        <f t="shared" ref="E67:G68" si="8">E60/E12</f>
        <v>0.97549628956747192</v>
      </c>
      <c r="F67">
        <f t="shared" si="8"/>
        <v>0.98767215692631127</v>
      </c>
      <c r="G67">
        <f t="shared" si="8"/>
        <v>0.95274113103686642</v>
      </c>
      <c r="H67">
        <f>H12-H60</f>
        <v>0</v>
      </c>
      <c r="J67" s="7" t="s">
        <v>16</v>
      </c>
      <c r="K67">
        <f>K20-C60</f>
        <v>-0.25812402399168433</v>
      </c>
      <c r="L67">
        <f>D60/L11</f>
        <v>0.92949886539393456</v>
      </c>
      <c r="M67">
        <f t="shared" ref="M67:O67" si="9">E60/M11</f>
        <v>0.83469579040844677</v>
      </c>
      <c r="N67">
        <f t="shared" si="9"/>
        <v>0.91361687287858617</v>
      </c>
      <c r="O67">
        <f t="shared" si="9"/>
        <v>0.8804121172430196</v>
      </c>
      <c r="R67" s="7" t="s">
        <v>16</v>
      </c>
      <c r="S67">
        <f>S20-S60</f>
        <v>9.0828136143509292E-2</v>
      </c>
      <c r="T67">
        <f>D60/T12</f>
        <v>0.89551020039648677</v>
      </c>
      <c r="U67">
        <f t="shared" ref="U67:W67" si="10">E60/U12</f>
        <v>0.71624990446523384</v>
      </c>
      <c r="V67">
        <f t="shared" si="10"/>
        <v>0.84631548754895991</v>
      </c>
      <c r="W67">
        <f t="shared" si="10"/>
        <v>0.84086399012130575</v>
      </c>
    </row>
    <row r="68" spans="2:24" x14ac:dyDescent="0.35">
      <c r="B68" s="1" t="s">
        <v>7</v>
      </c>
      <c r="C68">
        <f>C13-C61</f>
        <v>8.5854820162280299E-2</v>
      </c>
      <c r="D68">
        <f>D61/D13</f>
        <v>0.86237790417955895</v>
      </c>
      <c r="E68">
        <f t="shared" si="8"/>
        <v>0.75209931477946801</v>
      </c>
      <c r="F68">
        <f t="shared" si="8"/>
        <v>0.86723659677130094</v>
      </c>
      <c r="G68">
        <f t="shared" si="8"/>
        <v>0.88429250294754913</v>
      </c>
      <c r="H68">
        <f>H13-H61</f>
        <v>0</v>
      </c>
    </row>
  </sheetData>
  <conditionalFormatting sqref="D20:G21">
    <cfRule type="cellIs" dxfId="83" priority="47" operator="lessThan">
      <formula>0</formula>
    </cfRule>
    <cfRule type="cellIs" dxfId="82" priority="46" operator="greaterThan">
      <formula>1</formula>
    </cfRule>
    <cfRule type="cellIs" dxfId="81" priority="45" operator="lessThan">
      <formula>1</formula>
    </cfRule>
    <cfRule type="cellIs" dxfId="80" priority="48" operator="greaterThan">
      <formula>0</formula>
    </cfRule>
  </conditionalFormatting>
  <conditionalFormatting sqref="D38:G39">
    <cfRule type="cellIs" dxfId="79" priority="42" operator="greaterThan">
      <formula>1</formula>
    </cfRule>
    <cfRule type="cellIs" dxfId="78" priority="44" operator="greaterThan">
      <formula>0</formula>
    </cfRule>
    <cfRule type="cellIs" dxfId="77" priority="43" operator="lessThan">
      <formula>0</formula>
    </cfRule>
    <cfRule type="cellIs" dxfId="76" priority="41" operator="lessThan">
      <formula>1</formula>
    </cfRule>
  </conditionalFormatting>
  <conditionalFormatting sqref="D53:G54">
    <cfRule type="cellIs" dxfId="75" priority="40" operator="greaterThan">
      <formula>0</formula>
    </cfRule>
    <cfRule type="cellIs" dxfId="74" priority="39" operator="lessThan">
      <formula>0</formula>
    </cfRule>
    <cfRule type="cellIs" dxfId="73" priority="38" operator="greaterThan">
      <formula>1</formula>
    </cfRule>
    <cfRule type="cellIs" dxfId="72" priority="37" operator="lessThan">
      <formula>1</formula>
    </cfRule>
  </conditionalFormatting>
  <conditionalFormatting sqref="D67:G68">
    <cfRule type="cellIs" dxfId="71" priority="36" operator="greaterThan">
      <formula>0</formula>
    </cfRule>
    <cfRule type="cellIs" dxfId="70" priority="35" operator="lessThan">
      <formula>0</formula>
    </cfRule>
    <cfRule type="cellIs" dxfId="69" priority="34" operator="greaterThan">
      <formula>1</formula>
    </cfRule>
    <cfRule type="cellIs" dxfId="68" priority="33" operator="lessThan">
      <formula>1</formula>
    </cfRule>
  </conditionalFormatting>
  <conditionalFormatting sqref="L20:O20">
    <cfRule type="cellIs" dxfId="67" priority="7" operator="lessThan">
      <formula>0</formula>
    </cfRule>
    <cfRule type="cellIs" dxfId="66" priority="5" operator="lessThan">
      <formula>1</formula>
    </cfRule>
    <cfRule type="cellIs" dxfId="65" priority="6" operator="greaterThan">
      <formula>1</formula>
    </cfRule>
    <cfRule type="cellIs" dxfId="64" priority="8" operator="greaterThan">
      <formula>0</formula>
    </cfRule>
  </conditionalFormatting>
  <conditionalFormatting sqref="L38:O38">
    <cfRule type="cellIs" dxfId="63" priority="31" operator="lessThan">
      <formula>0</formula>
    </cfRule>
    <cfRule type="cellIs" dxfId="62" priority="32" operator="greaterThan">
      <formula>0</formula>
    </cfRule>
    <cfRule type="cellIs" dxfId="61" priority="30" operator="greaterThan">
      <formula>1</formula>
    </cfRule>
    <cfRule type="cellIs" dxfId="60" priority="29" operator="lessThan">
      <formula>1</formula>
    </cfRule>
  </conditionalFormatting>
  <conditionalFormatting sqref="L53:O53">
    <cfRule type="cellIs" dxfId="59" priority="25" operator="lessThan">
      <formula>1</formula>
    </cfRule>
    <cfRule type="cellIs" dxfId="58" priority="26" operator="greaterThan">
      <formula>1</formula>
    </cfRule>
    <cfRule type="cellIs" dxfId="57" priority="27" operator="lessThan">
      <formula>0</formula>
    </cfRule>
    <cfRule type="cellIs" dxfId="56" priority="28" operator="greaterThan">
      <formula>0</formula>
    </cfRule>
  </conditionalFormatting>
  <conditionalFormatting sqref="L67:O67">
    <cfRule type="cellIs" dxfId="55" priority="24" operator="greaterThan">
      <formula>0</formula>
    </cfRule>
    <cfRule type="cellIs" dxfId="54" priority="23" operator="lessThan">
      <formula>0</formula>
    </cfRule>
    <cfRule type="cellIs" dxfId="53" priority="22" operator="greaterThan">
      <formula>1</formula>
    </cfRule>
    <cfRule type="cellIs" dxfId="52" priority="21" operator="lessThan">
      <formula>1</formula>
    </cfRule>
  </conditionalFormatting>
  <conditionalFormatting sqref="T20:W21">
    <cfRule type="cellIs" dxfId="51" priority="1" operator="lessThan">
      <formula>1</formula>
    </cfRule>
    <cfRule type="cellIs" dxfId="50" priority="4" operator="greaterThan">
      <formula>0</formula>
    </cfRule>
    <cfRule type="cellIs" dxfId="49" priority="3" operator="lessThan">
      <formula>0</formula>
    </cfRule>
    <cfRule type="cellIs" dxfId="48" priority="2" operator="greaterThan">
      <formula>1</formula>
    </cfRule>
  </conditionalFormatting>
  <conditionalFormatting sqref="T38:W38">
    <cfRule type="cellIs" dxfId="47" priority="12" operator="greaterThan">
      <formula>0</formula>
    </cfRule>
    <cfRule type="cellIs" dxfId="46" priority="11" operator="lessThan">
      <formula>0</formula>
    </cfRule>
    <cfRule type="cellIs" dxfId="45" priority="10" operator="greaterThan">
      <formula>1</formula>
    </cfRule>
    <cfRule type="cellIs" dxfId="44" priority="9" operator="lessThan">
      <formula>1</formula>
    </cfRule>
  </conditionalFormatting>
  <conditionalFormatting sqref="T53:W53">
    <cfRule type="cellIs" dxfId="43" priority="16" operator="greaterThan">
      <formula>0</formula>
    </cfRule>
    <cfRule type="cellIs" dxfId="42" priority="15" operator="lessThan">
      <formula>0</formula>
    </cfRule>
    <cfRule type="cellIs" dxfId="41" priority="14" operator="greaterThan">
      <formula>1</formula>
    </cfRule>
    <cfRule type="cellIs" dxfId="40" priority="13" operator="lessThan">
      <formula>1</formula>
    </cfRule>
  </conditionalFormatting>
  <conditionalFormatting sqref="T67:W67">
    <cfRule type="cellIs" dxfId="39" priority="19" operator="lessThan">
      <formula>0</formula>
    </cfRule>
    <cfRule type="cellIs" dxfId="38" priority="20" operator="greaterThan">
      <formula>0</formula>
    </cfRule>
    <cfRule type="cellIs" dxfId="37" priority="18" operator="greaterThan">
      <formula>1</formula>
    </cfRule>
    <cfRule type="cellIs" dxfId="36" priority="17" operator="lessThan">
      <formula>1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B474-FC50-4624-86F7-51C40E4033B2}">
  <dimension ref="B2:X68"/>
  <sheetViews>
    <sheetView tabSelected="1" topLeftCell="A24" zoomScale="71" workbookViewId="0">
      <selection activeCell="I36" sqref="I36"/>
    </sheetView>
  </sheetViews>
  <sheetFormatPr baseColWidth="10" defaultRowHeight="14.5" x14ac:dyDescent="0.35"/>
  <sheetData>
    <row r="2" spans="2:24" x14ac:dyDescent="0.35">
      <c r="B2" s="12" t="s">
        <v>20</v>
      </c>
    </row>
    <row r="3" spans="2:24" x14ac:dyDescent="0.35">
      <c r="B3" s="3" t="s">
        <v>10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24" x14ac:dyDescent="0.35">
      <c r="B4" s="1" t="s">
        <v>6</v>
      </c>
      <c r="C4">
        <v>8.4731813345035947E-2</v>
      </c>
      <c r="D4">
        <v>0.19608441834062471</v>
      </c>
      <c r="E4">
        <v>5.6550198482459769E-2</v>
      </c>
      <c r="F4">
        <v>0.23780285633789131</v>
      </c>
      <c r="G4">
        <v>0.23058288282192499</v>
      </c>
      <c r="H4">
        <v>14</v>
      </c>
    </row>
    <row r="5" spans="2:24" x14ac:dyDescent="0.35">
      <c r="B5" s="1" t="s">
        <v>7</v>
      </c>
      <c r="C5">
        <v>0.35149657263508632</v>
      </c>
      <c r="D5">
        <v>0.36787892541529482</v>
      </c>
      <c r="E5">
        <v>0.20852033882999199</v>
      </c>
      <c r="F5">
        <v>0.45664027289540732</v>
      </c>
      <c r="G5">
        <v>0.30339969200780009</v>
      </c>
      <c r="H5">
        <v>13</v>
      </c>
    </row>
    <row r="9" spans="2:24" x14ac:dyDescent="0.35">
      <c r="B9" s="12" t="s">
        <v>21</v>
      </c>
    </row>
    <row r="10" spans="2:24" ht="72.5" x14ac:dyDescent="0.35">
      <c r="B10" s="5" t="s">
        <v>9</v>
      </c>
      <c r="C10" s="6" t="s">
        <v>0</v>
      </c>
      <c r="D10" s="6" t="s">
        <v>1</v>
      </c>
      <c r="E10" s="6" t="s">
        <v>2</v>
      </c>
      <c r="F10" s="6" t="s">
        <v>3</v>
      </c>
      <c r="G10" s="6" t="s">
        <v>4</v>
      </c>
      <c r="H10" s="6" t="s">
        <v>5</v>
      </c>
      <c r="J10" s="5" t="s">
        <v>12</v>
      </c>
      <c r="K10" s="1" t="s">
        <v>0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  <c r="R10" s="5" t="s">
        <v>11</v>
      </c>
      <c r="S10" s="6" t="s">
        <v>0</v>
      </c>
      <c r="T10" s="6" t="s">
        <v>1</v>
      </c>
      <c r="U10" s="6" t="s">
        <v>2</v>
      </c>
      <c r="V10" s="6" t="s">
        <v>3</v>
      </c>
      <c r="W10" s="6" t="s">
        <v>4</v>
      </c>
      <c r="X10" s="6" t="s">
        <v>5</v>
      </c>
    </row>
    <row r="11" spans="2:24" x14ac:dyDescent="0.35">
      <c r="B11" s="1" t="s">
        <v>8</v>
      </c>
      <c r="C11">
        <v>1.013205516401729E-2</v>
      </c>
      <c r="D11">
        <v>0.47540560719782787</v>
      </c>
      <c r="E11">
        <v>0.39848422018252899</v>
      </c>
      <c r="F11">
        <v>0.63125606546197166</v>
      </c>
      <c r="G11">
        <v>0.65500099019123936</v>
      </c>
      <c r="H11">
        <v>14</v>
      </c>
      <c r="J11" s="1" t="s">
        <v>8</v>
      </c>
      <c r="K11">
        <v>0.23287472625208641</v>
      </c>
      <c r="L11">
        <v>0.68306957590560258</v>
      </c>
      <c r="M11">
        <v>0.6455555132660048</v>
      </c>
      <c r="N11">
        <v>0.80346469322926994</v>
      </c>
      <c r="O11">
        <v>0.80037612912134792</v>
      </c>
      <c r="P11">
        <v>13</v>
      </c>
      <c r="R11" s="1" t="s">
        <v>8</v>
      </c>
      <c r="S11">
        <v>-1.363625476345442E-2</v>
      </c>
      <c r="T11">
        <v>0.45816487421589941</v>
      </c>
      <c r="U11">
        <v>0.36187749003120162</v>
      </c>
      <c r="V11">
        <v>0.6015625404155428</v>
      </c>
      <c r="W11">
        <v>0.61168918965877439</v>
      </c>
      <c r="X11">
        <v>30</v>
      </c>
    </row>
    <row r="12" spans="2:24" x14ac:dyDescent="0.35">
      <c r="B12" s="1" t="s">
        <v>6</v>
      </c>
      <c r="C12">
        <v>5.9347396947593618E-2</v>
      </c>
      <c r="D12">
        <v>0.55438053067826609</v>
      </c>
      <c r="E12">
        <v>0.41588624248484152</v>
      </c>
      <c r="F12">
        <v>0.64489242706426742</v>
      </c>
      <c r="G12">
        <v>0.66639661356636837</v>
      </c>
      <c r="H12">
        <v>14</v>
      </c>
      <c r="R12" s="1" t="s">
        <v>6</v>
      </c>
      <c r="S12">
        <v>0.2112212115238695</v>
      </c>
      <c r="T12">
        <v>0.6630517894739032</v>
      </c>
      <c r="U12">
        <v>0.63023013422686547</v>
      </c>
      <c r="V12">
        <v>0.79387035101889625</v>
      </c>
      <c r="W12">
        <v>0.76954251740693236</v>
      </c>
      <c r="X12">
        <v>90</v>
      </c>
    </row>
    <row r="13" spans="2:24" x14ac:dyDescent="0.35">
      <c r="B13" s="1" t="s">
        <v>7</v>
      </c>
      <c r="C13">
        <v>0.29056118375729217</v>
      </c>
      <c r="D13">
        <v>0.81497477295565979</v>
      </c>
      <c r="E13">
        <v>0.78945272254891097</v>
      </c>
      <c r="F13">
        <v>0.88851152077444162</v>
      </c>
      <c r="G13">
        <v>0.87394460033956278</v>
      </c>
      <c r="H13">
        <v>13</v>
      </c>
      <c r="R13" s="1" t="s">
        <v>7</v>
      </c>
      <c r="S13">
        <v>0.1179913712969851</v>
      </c>
      <c r="T13">
        <v>0.73565723721725729</v>
      </c>
      <c r="U13">
        <v>0.6126808158133018</v>
      </c>
      <c r="V13">
        <v>0.7827393025863093</v>
      </c>
      <c r="W13">
        <v>0.78317477395185142</v>
      </c>
      <c r="X13">
        <v>42</v>
      </c>
    </row>
    <row r="14" spans="2:24" x14ac:dyDescent="0.35">
      <c r="B14" s="4"/>
      <c r="R14" s="4"/>
    </row>
    <row r="15" spans="2:24" x14ac:dyDescent="0.35">
      <c r="B15" s="4"/>
      <c r="R15" s="4"/>
    </row>
    <row r="18" spans="2:24" x14ac:dyDescent="0.35">
      <c r="B18" s="11" t="s">
        <v>13</v>
      </c>
      <c r="D18" t="s">
        <v>25</v>
      </c>
      <c r="J18" s="11" t="s">
        <v>15</v>
      </c>
      <c r="L18" t="s">
        <v>25</v>
      </c>
      <c r="R18" s="2" t="s">
        <v>14</v>
      </c>
      <c r="T18" t="s">
        <v>25</v>
      </c>
    </row>
    <row r="19" spans="2:24" x14ac:dyDescent="0.35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X19" s="1" t="s">
        <v>5</v>
      </c>
    </row>
    <row r="20" spans="2:24" x14ac:dyDescent="0.35">
      <c r="B20" s="1" t="s">
        <v>6</v>
      </c>
      <c r="C20">
        <f>C12-C4</f>
        <v>-2.5384416397442329E-2</v>
      </c>
      <c r="D20">
        <f>D4/D12</f>
        <v>0.35370004444550379</v>
      </c>
      <c r="E20">
        <f t="shared" ref="D20:F21" si="0">E4/E12</f>
        <v>0.13597516028561812</v>
      </c>
      <c r="F20">
        <f>F4/F12</f>
        <v>0.36874809868746189</v>
      </c>
      <c r="G20">
        <f>G4/G12</f>
        <v>0.34601448766059878</v>
      </c>
      <c r="H20">
        <f>H12-H4</f>
        <v>0</v>
      </c>
      <c r="J20" s="7" t="s">
        <v>16</v>
      </c>
      <c r="K20">
        <f>C4-K11</f>
        <v>-0.14814291290705045</v>
      </c>
      <c r="L20">
        <f>D4/L11</f>
        <v>0.28706360999999037</v>
      </c>
      <c r="M20">
        <f>E4/M11</f>
        <v>8.7599280496204107E-2</v>
      </c>
      <c r="N20">
        <f>F4/N11</f>
        <v>0.29597175624745703</v>
      </c>
      <c r="O20">
        <f>G4/O11</f>
        <v>0.28809315324665996</v>
      </c>
      <c r="P20">
        <f>H4-P11</f>
        <v>1</v>
      </c>
      <c r="R20" s="1" t="s">
        <v>6</v>
      </c>
      <c r="S20">
        <f>S12-C4</f>
        <v>0.12648939817883353</v>
      </c>
      <c r="T20">
        <f>D4/T12</f>
        <v>0.29573016988040618</v>
      </c>
      <c r="U20">
        <f t="shared" ref="T20:W21" si="1">E4/U12</f>
        <v>8.9729442327972309E-2</v>
      </c>
      <c r="V20">
        <f t="shared" si="1"/>
        <v>0.29954873114064812</v>
      </c>
      <c r="W20">
        <f t="shared" si="1"/>
        <v>0.29963631327207524</v>
      </c>
      <c r="X20">
        <f>X12-H4</f>
        <v>76</v>
      </c>
    </row>
    <row r="21" spans="2:24" x14ac:dyDescent="0.35">
      <c r="B21" s="1" t="s">
        <v>7</v>
      </c>
      <c r="C21">
        <f>C13-C5</f>
        <v>-6.093538887779415E-2</v>
      </c>
      <c r="D21">
        <f t="shared" si="0"/>
        <v>0.45139915691023474</v>
      </c>
      <c r="E21">
        <f t="shared" si="0"/>
        <v>0.26413277562301773</v>
      </c>
      <c r="F21">
        <f t="shared" si="0"/>
        <v>0.513938494007812</v>
      </c>
      <c r="G21">
        <f>G5/G13</f>
        <v>0.34716124098703405</v>
      </c>
      <c r="H21">
        <f>H13-H5</f>
        <v>0</v>
      </c>
      <c r="J21" s="10"/>
      <c r="R21" s="1" t="s">
        <v>7</v>
      </c>
      <c r="S21">
        <f>S13-C5</f>
        <v>-0.23350520133810121</v>
      </c>
      <c r="T21">
        <f t="shared" si="1"/>
        <v>0.50006838348638627</v>
      </c>
      <c r="U21">
        <f t="shared" si="1"/>
        <v>0.34034089765515529</v>
      </c>
      <c r="V21">
        <f t="shared" si="1"/>
        <v>0.58338743357665446</v>
      </c>
      <c r="W21">
        <f t="shared" si="1"/>
        <v>0.38739717123020195</v>
      </c>
      <c r="X21">
        <f>X13-H5</f>
        <v>29</v>
      </c>
    </row>
    <row r="22" spans="2:24" x14ac:dyDescent="0.35">
      <c r="J22" s="4"/>
    </row>
    <row r="30" spans="2:24" x14ac:dyDescent="0.35">
      <c r="B30" s="8" t="s">
        <v>18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</row>
    <row r="31" spans="2:24" x14ac:dyDescent="0.35">
      <c r="B31" s="1" t="s">
        <v>6</v>
      </c>
      <c r="C31">
        <v>-9.5010200415819625E-3</v>
      </c>
      <c r="D31">
        <v>0.4746477401033401</v>
      </c>
      <c r="E31">
        <v>0.2965688868987359</v>
      </c>
      <c r="F31">
        <v>0.54458138684565405</v>
      </c>
      <c r="G31">
        <v>0.56505279843409828</v>
      </c>
      <c r="H31">
        <v>14</v>
      </c>
    </row>
    <row r="32" spans="2:24" x14ac:dyDescent="0.35">
      <c r="B32" s="1" t="s">
        <v>7</v>
      </c>
      <c r="C32">
        <v>3.392262443854432E-3</v>
      </c>
      <c r="D32">
        <v>0.39125101589970879</v>
      </c>
      <c r="E32">
        <v>0.22516938675997369</v>
      </c>
      <c r="F32">
        <v>0.47452016475590758</v>
      </c>
      <c r="G32">
        <v>0.49388362589289148</v>
      </c>
      <c r="H32">
        <v>13</v>
      </c>
    </row>
    <row r="36" spans="2:24" x14ac:dyDescent="0.35">
      <c r="B36" s="11" t="s">
        <v>22</v>
      </c>
      <c r="D36" t="s">
        <v>25</v>
      </c>
      <c r="J36" s="11" t="s">
        <v>26</v>
      </c>
      <c r="R36" s="11" t="s">
        <v>27</v>
      </c>
    </row>
    <row r="37" spans="2:24" x14ac:dyDescent="0.35"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1" t="s">
        <v>5</v>
      </c>
      <c r="K37" s="1" t="s">
        <v>0</v>
      </c>
      <c r="L37" s="1" t="s">
        <v>1</v>
      </c>
      <c r="M37" s="1" t="s">
        <v>2</v>
      </c>
      <c r="N37" s="1" t="s">
        <v>3</v>
      </c>
      <c r="O37" s="1" t="s">
        <v>4</v>
      </c>
      <c r="P37" s="1" t="s">
        <v>5</v>
      </c>
      <c r="S37" s="1" t="s">
        <v>0</v>
      </c>
      <c r="T37" s="1" t="s">
        <v>1</v>
      </c>
      <c r="U37" s="1" t="s">
        <v>2</v>
      </c>
      <c r="V37" s="1" t="s">
        <v>3</v>
      </c>
      <c r="W37" s="1" t="s">
        <v>4</v>
      </c>
      <c r="X37" s="1" t="s">
        <v>5</v>
      </c>
    </row>
    <row r="38" spans="2:24" x14ac:dyDescent="0.35">
      <c r="B38" s="1" t="s">
        <v>6</v>
      </c>
      <c r="C38">
        <f>C12-C31</f>
        <v>6.8848416989175584E-2</v>
      </c>
      <c r="D38">
        <f>D31/D12</f>
        <v>0.85617678442391265</v>
      </c>
      <c r="E38">
        <f t="shared" ref="E38:F39" si="2">E31/E12</f>
        <v>0.71310097955343021</v>
      </c>
      <c r="F38">
        <f t="shared" si="2"/>
        <v>0.84445306533485354</v>
      </c>
      <c r="G38">
        <f>G31/G12</f>
        <v>0.84792267387148579</v>
      </c>
      <c r="H38">
        <f>H12-H31</f>
        <v>0</v>
      </c>
      <c r="J38" s="7" t="s">
        <v>16</v>
      </c>
      <c r="K38">
        <f>C31-K11</f>
        <v>-0.24237574629366837</v>
      </c>
      <c r="L38">
        <f>D31/L11</f>
        <v>0.69487466115594421</v>
      </c>
      <c r="M38">
        <f t="shared" ref="M38:N38" si="3">E31/M11</f>
        <v>0.45940105971418294</v>
      </c>
      <c r="N38">
        <f t="shared" si="3"/>
        <v>0.67779130985442926</v>
      </c>
      <c r="O38">
        <f>G31/O11</f>
        <v>0.70598407158196064</v>
      </c>
      <c r="R38" s="7" t="s">
        <v>16</v>
      </c>
      <c r="S38">
        <f>C31-S12</f>
        <v>-0.22072223156545145</v>
      </c>
      <c r="T38">
        <f>D31/T12</f>
        <v>0.71585319222190502</v>
      </c>
      <c r="U38">
        <f t="shared" ref="U38:V38" si="4">E31/U12</f>
        <v>0.47057236839769911</v>
      </c>
      <c r="V38">
        <f t="shared" si="4"/>
        <v>0.6859827755838328</v>
      </c>
      <c r="W38">
        <f>G31/W12</f>
        <v>0.73427105800224368</v>
      </c>
    </row>
    <row r="39" spans="2:24" x14ac:dyDescent="0.35">
      <c r="B39" s="1" t="s">
        <v>7</v>
      </c>
      <c r="C39">
        <f>C13-C32</f>
        <v>0.28716892131343774</v>
      </c>
      <c r="D39">
        <f>D32/D13</f>
        <v>0.48007745623924425</v>
      </c>
      <c r="E39">
        <f t="shared" si="2"/>
        <v>0.28522212962033733</v>
      </c>
      <c r="F39">
        <f t="shared" si="2"/>
        <v>0.53406191553071569</v>
      </c>
      <c r="G39">
        <f>G32/G13</f>
        <v>0.56512006104391255</v>
      </c>
      <c r="H39">
        <f>H13-H32</f>
        <v>0</v>
      </c>
    </row>
    <row r="45" spans="2:24" x14ac:dyDescent="0.35">
      <c r="B45" s="9" t="s">
        <v>19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</row>
    <row r="46" spans="2:24" x14ac:dyDescent="0.35">
      <c r="B46" s="1" t="s">
        <v>6</v>
      </c>
      <c r="C46">
        <v>0.19351573106607439</v>
      </c>
      <c r="D46">
        <v>0.50567345176788259</v>
      </c>
      <c r="E46">
        <v>0.41052940380502723</v>
      </c>
      <c r="F46">
        <v>0.64072568530146135</v>
      </c>
      <c r="G46">
        <v>0.63386087522844792</v>
      </c>
      <c r="H46">
        <v>14</v>
      </c>
    </row>
    <row r="47" spans="2:24" x14ac:dyDescent="0.35">
      <c r="B47" s="1" t="s">
        <v>7</v>
      </c>
      <c r="C47">
        <v>0.25710028107509159</v>
      </c>
      <c r="D47">
        <v>0.53703813801092515</v>
      </c>
      <c r="E47">
        <v>0.53110215434155661</v>
      </c>
      <c r="F47">
        <v>0.72876755851338271</v>
      </c>
      <c r="G47">
        <v>0.70975469926615331</v>
      </c>
      <c r="H47">
        <v>13</v>
      </c>
    </row>
    <row r="51" spans="2:24" x14ac:dyDescent="0.35">
      <c r="B51" s="11" t="s">
        <v>23</v>
      </c>
      <c r="D51" t="s">
        <v>25</v>
      </c>
      <c r="J51" s="11" t="s">
        <v>28</v>
      </c>
      <c r="R51" s="11" t="s">
        <v>29</v>
      </c>
    </row>
    <row r="52" spans="2:24" x14ac:dyDescent="0.35"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K52" s="1" t="s">
        <v>0</v>
      </c>
      <c r="L52" s="1" t="s">
        <v>1</v>
      </c>
      <c r="M52" s="1" t="s">
        <v>2</v>
      </c>
      <c r="N52" s="1" t="s">
        <v>3</v>
      </c>
      <c r="O52" s="1" t="s">
        <v>4</v>
      </c>
      <c r="P52" s="1" t="s">
        <v>5</v>
      </c>
      <c r="S52" s="1" t="s">
        <v>0</v>
      </c>
      <c r="T52" s="1" t="s">
        <v>1</v>
      </c>
      <c r="U52" s="1" t="s">
        <v>2</v>
      </c>
      <c r="V52" s="1" t="s">
        <v>3</v>
      </c>
      <c r="W52" s="1" t="s">
        <v>4</v>
      </c>
      <c r="X52" s="1" t="s">
        <v>5</v>
      </c>
    </row>
    <row r="53" spans="2:24" x14ac:dyDescent="0.35">
      <c r="B53" s="1" t="s">
        <v>6</v>
      </c>
      <c r="C53">
        <f>C12-C46</f>
        <v>-0.13416833411848078</v>
      </c>
      <c r="D53">
        <f>D46/D12</f>
        <v>0.91214143315820995</v>
      </c>
      <c r="E53">
        <f t="shared" ref="E53:F54" si="5">E46/E12</f>
        <v>0.98711946168786879</v>
      </c>
      <c r="F53">
        <f t="shared" si="5"/>
        <v>0.99353885766379013</v>
      </c>
      <c r="G53">
        <f>G46/G12</f>
        <v>0.95117661513344387</v>
      </c>
      <c r="H53">
        <f>H12-H46</f>
        <v>0</v>
      </c>
      <c r="J53" s="7" t="s">
        <v>16</v>
      </c>
      <c r="K53">
        <f>C46-K20</f>
        <v>0.34165864397312484</v>
      </c>
      <c r="L53">
        <f>D46/L11</f>
        <v>0.74029567353730974</v>
      </c>
      <c r="M53">
        <f t="shared" ref="M53:N53" si="6">E46/M11</f>
        <v>0.63593199247586052</v>
      </c>
      <c r="N53">
        <f t="shared" si="6"/>
        <v>0.7974534421995183</v>
      </c>
      <c r="O53">
        <f>G46/O11</f>
        <v>0.79195374795135343</v>
      </c>
      <c r="R53" s="7" t="s">
        <v>16</v>
      </c>
      <c r="S53">
        <f>C46-S20</f>
        <v>6.7026332887240858E-2</v>
      </c>
      <c r="T53">
        <f>D46/T12</f>
        <v>0.76264548229197593</v>
      </c>
      <c r="U53">
        <f t="shared" ref="U53:V53" si="7">E46/U12</f>
        <v>0.65139602426127086</v>
      </c>
      <c r="V53">
        <f t="shared" si="7"/>
        <v>0.80709108795802653</v>
      </c>
      <c r="W53">
        <f>G46/W12</f>
        <v>0.82368532068159106</v>
      </c>
    </row>
    <row r="54" spans="2:24" x14ac:dyDescent="0.35">
      <c r="B54" s="1" t="s">
        <v>7</v>
      </c>
      <c r="C54">
        <f>C13-C47</f>
        <v>3.3460902682200588E-2</v>
      </c>
      <c r="D54">
        <f>D47/D13</f>
        <v>0.65896289778793393</v>
      </c>
      <c r="E54">
        <f t="shared" si="5"/>
        <v>0.67274725790644407</v>
      </c>
      <c r="F54">
        <f t="shared" si="5"/>
        <v>0.82021171529455983</v>
      </c>
      <c r="G54">
        <f>G47/G13</f>
        <v>0.81212779275755576</v>
      </c>
      <c r="H54">
        <f>H13-H47</f>
        <v>0</v>
      </c>
    </row>
    <row r="59" spans="2:24" x14ac:dyDescent="0.35">
      <c r="B59" s="9" t="s">
        <v>17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</row>
    <row r="60" spans="2:24" x14ac:dyDescent="0.35">
      <c r="B60" s="1" t="s">
        <v>6</v>
      </c>
      <c r="C60">
        <v>0.52272794246543752</v>
      </c>
      <c r="D60">
        <v>0.66511806767497372</v>
      </c>
      <c r="E60">
        <v>0.623728351277264</v>
      </c>
      <c r="F60">
        <v>0.78976474426076027</v>
      </c>
      <c r="G60">
        <v>0.6143648309873565</v>
      </c>
      <c r="H60">
        <v>14</v>
      </c>
    </row>
    <row r="61" spans="2:24" x14ac:dyDescent="0.35">
      <c r="B61" s="1" t="s">
        <v>7</v>
      </c>
      <c r="C61">
        <v>0.38324685626712068</v>
      </c>
      <c r="D61">
        <v>0.57446868720415856</v>
      </c>
      <c r="E61">
        <v>0.41846294351119362</v>
      </c>
      <c r="F61">
        <v>0.64688711805939803</v>
      </c>
      <c r="G61">
        <v>0.54241760347719437</v>
      </c>
      <c r="H61">
        <v>13</v>
      </c>
    </row>
    <row r="65" spans="2:24" x14ac:dyDescent="0.35">
      <c r="B65" s="11" t="s">
        <v>24</v>
      </c>
      <c r="D65" t="s">
        <v>25</v>
      </c>
      <c r="J65" s="11" t="s">
        <v>30</v>
      </c>
      <c r="R65" s="11" t="s">
        <v>31</v>
      </c>
    </row>
    <row r="66" spans="2:24" x14ac:dyDescent="0.35">
      <c r="C66" s="1" t="s">
        <v>0</v>
      </c>
      <c r="D66" s="1" t="s">
        <v>1</v>
      </c>
      <c r="E66" s="1" t="s">
        <v>2</v>
      </c>
      <c r="F66" s="1" t="s">
        <v>3</v>
      </c>
      <c r="G66" s="1" t="s">
        <v>4</v>
      </c>
      <c r="H66" s="1" t="s">
        <v>5</v>
      </c>
      <c r="K66" s="1" t="s">
        <v>0</v>
      </c>
      <c r="L66" s="1" t="s">
        <v>1</v>
      </c>
      <c r="M66" s="1" t="s">
        <v>2</v>
      </c>
      <c r="N66" s="1" t="s">
        <v>3</v>
      </c>
      <c r="O66" s="1" t="s">
        <v>4</v>
      </c>
      <c r="P66" s="1" t="s">
        <v>5</v>
      </c>
      <c r="S66" s="1" t="s">
        <v>0</v>
      </c>
      <c r="T66" s="1" t="s">
        <v>1</v>
      </c>
      <c r="U66" s="1" t="s">
        <v>2</v>
      </c>
      <c r="V66" s="1" t="s">
        <v>3</v>
      </c>
      <c r="W66" s="1" t="s">
        <v>4</v>
      </c>
      <c r="X66" s="1" t="s">
        <v>5</v>
      </c>
    </row>
    <row r="67" spans="2:24" x14ac:dyDescent="0.35">
      <c r="B67" s="1" t="s">
        <v>6</v>
      </c>
      <c r="C67">
        <f>C12-C60</f>
        <v>-0.46338054551784391</v>
      </c>
      <c r="D67">
        <f>D60/D12</f>
        <v>1.199750046887873</v>
      </c>
      <c r="E67">
        <f t="shared" ref="E67:F68" si="8">E60/E12</f>
        <v>1.4997571151923788</v>
      </c>
      <c r="F67">
        <f t="shared" si="8"/>
        <v>1.2246457100698058</v>
      </c>
      <c r="G67">
        <f>G60/G12</f>
        <v>0.92192069779503782</v>
      </c>
      <c r="H67">
        <f>H12-H60</f>
        <v>0</v>
      </c>
      <c r="J67" s="7" t="s">
        <v>16</v>
      </c>
      <c r="K67">
        <f>K20-C60</f>
        <v>-0.67087085537248803</v>
      </c>
      <c r="L67">
        <f>D60/L11</f>
        <v>0.97371935617710825</v>
      </c>
      <c r="M67">
        <f t="shared" ref="M67:N67" si="9">E60/M11</f>
        <v>0.96618855924827829</v>
      </c>
      <c r="N67">
        <f t="shared" si="9"/>
        <v>0.98294890978538574</v>
      </c>
      <c r="O67">
        <f>G60/O11</f>
        <v>0.76759514512483717</v>
      </c>
      <c r="R67" s="7" t="s">
        <v>16</v>
      </c>
      <c r="S67">
        <f>S20-S60</f>
        <v>0.12648939817883353</v>
      </c>
      <c r="T67">
        <f>D60/T12</f>
        <v>1.0031163149453379</v>
      </c>
      <c r="U67">
        <f t="shared" ref="U67:V67" si="10">E60/U12</f>
        <v>0.98968347815107649</v>
      </c>
      <c r="V67">
        <f t="shared" si="10"/>
        <v>0.99482836617734038</v>
      </c>
      <c r="W67">
        <f>G60/W12</f>
        <v>0.79835073058410588</v>
      </c>
    </row>
    <row r="68" spans="2:24" x14ac:dyDescent="0.35">
      <c r="B68" s="1" t="s">
        <v>7</v>
      </c>
      <c r="C68">
        <f>C13-C61</f>
        <v>-9.2685672509828509E-2</v>
      </c>
      <c r="D68">
        <f>D61/D13</f>
        <v>0.70489137365656052</v>
      </c>
      <c r="E68">
        <f t="shared" si="8"/>
        <v>0.53006713582556242</v>
      </c>
      <c r="F68">
        <f t="shared" si="8"/>
        <v>0.72805709654227135</v>
      </c>
      <c r="G68">
        <f>G61/G13</f>
        <v>0.62065444796665969</v>
      </c>
      <c r="H68">
        <f>H13-H61</f>
        <v>0</v>
      </c>
    </row>
  </sheetData>
  <conditionalFormatting sqref="D20:G21 D38:G39 D53:G54 D67:G68">
    <cfRule type="cellIs" dxfId="35" priority="48" operator="greaterThan">
      <formula>0</formula>
    </cfRule>
    <cfRule type="cellIs" dxfId="34" priority="45" operator="lessThan">
      <formula>1</formula>
    </cfRule>
    <cfRule type="cellIs" dxfId="33" priority="46" operator="greaterThan">
      <formula>1</formula>
    </cfRule>
    <cfRule type="cellIs" dxfId="32" priority="47" operator="lessThan">
      <formula>0</formula>
    </cfRule>
  </conditionalFormatting>
  <conditionalFormatting sqref="L20:O20">
    <cfRule type="cellIs" dxfId="31" priority="5" operator="lessThan">
      <formula>1</formula>
    </cfRule>
    <cfRule type="cellIs" dxfId="30" priority="6" operator="greaterThan">
      <formula>1</formula>
    </cfRule>
    <cfRule type="cellIs" dxfId="29" priority="7" operator="lessThan">
      <formula>0</formula>
    </cfRule>
    <cfRule type="cellIs" dxfId="28" priority="8" operator="greaterThan">
      <formula>0</formula>
    </cfRule>
  </conditionalFormatting>
  <conditionalFormatting sqref="L38:O38">
    <cfRule type="cellIs" dxfId="27" priority="30" operator="greaterThan">
      <formula>1</formula>
    </cfRule>
    <cfRule type="cellIs" dxfId="26" priority="29" operator="lessThan">
      <formula>1</formula>
    </cfRule>
    <cfRule type="cellIs" dxfId="25" priority="31" operator="lessThan">
      <formula>0</formula>
    </cfRule>
    <cfRule type="cellIs" dxfId="24" priority="32" operator="greaterThan">
      <formula>0</formula>
    </cfRule>
  </conditionalFormatting>
  <conditionalFormatting sqref="L53:O53">
    <cfRule type="cellIs" dxfId="23" priority="28" operator="greaterThan">
      <formula>0</formula>
    </cfRule>
    <cfRule type="cellIs" dxfId="22" priority="27" operator="lessThan">
      <formula>0</formula>
    </cfRule>
    <cfRule type="cellIs" dxfId="21" priority="26" operator="greaterThan">
      <formula>1</formula>
    </cfRule>
    <cfRule type="cellIs" dxfId="20" priority="25" operator="lessThan">
      <formula>1</formula>
    </cfRule>
  </conditionalFormatting>
  <conditionalFormatting sqref="L67:O67">
    <cfRule type="cellIs" dxfId="19" priority="23" operator="lessThan">
      <formula>0</formula>
    </cfRule>
    <cfRule type="cellIs" dxfId="18" priority="22" operator="greaterThan">
      <formula>1</formula>
    </cfRule>
    <cfRule type="cellIs" dxfId="17" priority="21" operator="lessThan">
      <formula>1</formula>
    </cfRule>
    <cfRule type="cellIs" dxfId="16" priority="24" operator="greaterThan">
      <formula>0</formula>
    </cfRule>
  </conditionalFormatting>
  <conditionalFormatting sqref="T20:W21">
    <cfRule type="cellIs" dxfId="15" priority="3" operator="lessThan">
      <formula>0</formula>
    </cfRule>
    <cfRule type="cellIs" dxfId="14" priority="4" operator="greaterThan">
      <formula>0</formula>
    </cfRule>
    <cfRule type="cellIs" dxfId="13" priority="1" operator="lessThan">
      <formula>1</formula>
    </cfRule>
    <cfRule type="cellIs" dxfId="12" priority="2" operator="greaterThan">
      <formula>1</formula>
    </cfRule>
  </conditionalFormatting>
  <conditionalFormatting sqref="T38:W38">
    <cfRule type="cellIs" dxfId="11" priority="12" operator="greaterThan">
      <formula>0</formula>
    </cfRule>
    <cfRule type="cellIs" dxfId="10" priority="11" operator="lessThan">
      <formula>0</formula>
    </cfRule>
    <cfRule type="cellIs" dxfId="9" priority="10" operator="greaterThan">
      <formula>1</formula>
    </cfRule>
    <cfRule type="cellIs" dxfId="8" priority="9" operator="lessThan">
      <formula>1</formula>
    </cfRule>
  </conditionalFormatting>
  <conditionalFormatting sqref="T53:W53">
    <cfRule type="cellIs" dxfId="7" priority="14" operator="greaterThan">
      <formula>1</formula>
    </cfRule>
    <cfRule type="cellIs" dxfId="6" priority="13" operator="lessThan">
      <formula>1</formula>
    </cfRule>
    <cfRule type="cellIs" dxfId="5" priority="16" operator="greaterThan">
      <formula>0</formula>
    </cfRule>
    <cfRule type="cellIs" dxfId="4" priority="15" operator="lessThan">
      <formula>0</formula>
    </cfRule>
  </conditionalFormatting>
  <conditionalFormatting sqref="T67:W67">
    <cfRule type="cellIs" dxfId="3" priority="20" operator="greaterThan">
      <formula>0</formula>
    </cfRule>
    <cfRule type="cellIs" dxfId="2" priority="18" operator="greaterThan">
      <formula>1</formula>
    </cfRule>
    <cfRule type="cellIs" dxfId="1" priority="17" operator="lessThan">
      <formula>1</formula>
    </cfRule>
    <cfRule type="cellIs" dxfId="0" priority="19" operator="lessThan">
      <formula>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ifoCAST - ifo GVA</vt:lpstr>
      <vt:lpstr>ifoCAST -ifo 2021 sample GVA</vt:lpstr>
      <vt:lpstr>ifoCAST - ifo 2022 sample GVA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Ole Westphal</dc:creator>
  <cp:lastModifiedBy>Jan Ole Westphal</cp:lastModifiedBy>
  <dcterms:created xsi:type="dcterms:W3CDTF">2025-07-10T15:54:27Z</dcterms:created>
  <dcterms:modified xsi:type="dcterms:W3CDTF">2025-11-21T11:52:40Z</dcterms:modified>
</cp:coreProperties>
</file>