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6_Analysis_Excels/"/>
    </mc:Choice>
  </mc:AlternateContent>
  <xr:revisionPtr revIDLastSave="329" documentId="8_{C8633DC1-0678-44D8-A406-195500882EAF}" xr6:coauthVersionLast="47" xr6:coauthVersionMax="47" xr10:uidLastSave="{0F390B8E-826C-4A94-9279-440EF1131AB5}"/>
  <bookViews>
    <workbookView xWindow="-110" yWindow="-110" windowWidth="25820" windowHeight="15500" firstSheet="5" activeTab="7" xr2:uid="{00000000-000D-0000-FFFF-FFFF00000000}"/>
  </bookViews>
  <sheets>
    <sheet name="Naive - ifo" sheetId="1" r:id="rId1"/>
    <sheet name="Naive-ifo 2010-2018" sheetId="6" r:id="rId2"/>
    <sheet name="Naive-ifo sd filtered" sheetId="7" r:id="rId3"/>
    <sheet name="ifoCAST - ifo" sheetId="2" r:id="rId4"/>
    <sheet name="ifoCAST -ifo 2021 sample" sheetId="4" r:id="rId5"/>
    <sheet name="ifoCAST - ifo 2022 sample" sheetId="5" r:id="rId6"/>
    <sheet name="ifoCAST long_term" sheetId="3" r:id="rId7"/>
    <sheet name="ifoCAST ful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8" l="1"/>
  <c r="M19" i="8"/>
  <c r="L19" i="8"/>
  <c r="K19" i="8"/>
  <c r="N15" i="8"/>
  <c r="M15" i="8"/>
  <c r="L15" i="8"/>
  <c r="K15" i="8"/>
  <c r="N11" i="8"/>
  <c r="M11" i="8"/>
  <c r="L11" i="8"/>
  <c r="K11" i="8"/>
  <c r="N7" i="8"/>
  <c r="M7" i="8"/>
  <c r="L7" i="8"/>
  <c r="K7" i="8"/>
  <c r="X37" i="7"/>
  <c r="W37" i="7"/>
  <c r="V37" i="7"/>
  <c r="U37" i="7"/>
  <c r="T37" i="7"/>
  <c r="S37" i="7"/>
  <c r="P37" i="7"/>
  <c r="O37" i="7"/>
  <c r="N37" i="7"/>
  <c r="M37" i="7"/>
  <c r="L37" i="7"/>
  <c r="K37" i="7"/>
  <c r="H37" i="7"/>
  <c r="G37" i="7"/>
  <c r="F37" i="7"/>
  <c r="E37" i="7"/>
  <c r="D37" i="7"/>
  <c r="C37" i="7"/>
  <c r="X36" i="7"/>
  <c r="W36" i="7"/>
  <c r="V36" i="7"/>
  <c r="U36" i="7"/>
  <c r="T36" i="7"/>
  <c r="S36" i="7"/>
  <c r="P36" i="7"/>
  <c r="O36" i="7"/>
  <c r="N36" i="7"/>
  <c r="M36" i="7"/>
  <c r="L36" i="7"/>
  <c r="K36" i="7"/>
  <c r="H36" i="7"/>
  <c r="G36" i="7"/>
  <c r="F36" i="7"/>
  <c r="E36" i="7"/>
  <c r="D36" i="7"/>
  <c r="C36" i="7"/>
  <c r="X35" i="7"/>
  <c r="W35" i="7"/>
  <c r="V35" i="7"/>
  <c r="U35" i="7"/>
  <c r="T35" i="7"/>
  <c r="S35" i="7"/>
  <c r="P35" i="7"/>
  <c r="O35" i="7"/>
  <c r="N35" i="7"/>
  <c r="M35" i="7"/>
  <c r="L35" i="7"/>
  <c r="K35" i="7"/>
  <c r="H35" i="7"/>
  <c r="G35" i="7"/>
  <c r="F35" i="7"/>
  <c r="E35" i="7"/>
  <c r="D35" i="7"/>
  <c r="C35" i="7"/>
  <c r="X34" i="7"/>
  <c r="W34" i="7"/>
  <c r="V34" i="7"/>
  <c r="U34" i="7"/>
  <c r="T34" i="7"/>
  <c r="S34" i="7"/>
  <c r="P34" i="7"/>
  <c r="O34" i="7"/>
  <c r="N34" i="7"/>
  <c r="M34" i="7"/>
  <c r="L34" i="7"/>
  <c r="K34" i="7"/>
  <c r="H34" i="7"/>
  <c r="G34" i="7"/>
  <c r="F34" i="7"/>
  <c r="E34" i="7"/>
  <c r="D34" i="7"/>
  <c r="C34" i="7"/>
  <c r="X33" i="7"/>
  <c r="W33" i="7"/>
  <c r="V33" i="7"/>
  <c r="U33" i="7"/>
  <c r="T33" i="7"/>
  <c r="S33" i="7"/>
  <c r="P33" i="7"/>
  <c r="O33" i="7"/>
  <c r="N33" i="7"/>
  <c r="M33" i="7"/>
  <c r="L33" i="7"/>
  <c r="K33" i="7"/>
  <c r="H33" i="7"/>
  <c r="G33" i="7"/>
  <c r="F33" i="7"/>
  <c r="E33" i="7"/>
  <c r="D33" i="7"/>
  <c r="C33" i="7"/>
  <c r="X32" i="7"/>
  <c r="W32" i="7"/>
  <c r="V32" i="7"/>
  <c r="U32" i="7"/>
  <c r="T32" i="7"/>
  <c r="S32" i="7"/>
  <c r="P32" i="7"/>
  <c r="O32" i="7"/>
  <c r="N32" i="7"/>
  <c r="M32" i="7"/>
  <c r="L32" i="7"/>
  <c r="K32" i="7"/>
  <c r="H32" i="7"/>
  <c r="G32" i="7"/>
  <c r="F32" i="7"/>
  <c r="E32" i="7"/>
  <c r="D32" i="7"/>
  <c r="C32" i="7"/>
  <c r="X31" i="7"/>
  <c r="W31" i="7"/>
  <c r="V31" i="7"/>
  <c r="U31" i="7"/>
  <c r="T31" i="7"/>
  <c r="S31" i="7"/>
  <c r="P31" i="7"/>
  <c r="O31" i="7"/>
  <c r="N31" i="7"/>
  <c r="M31" i="7"/>
  <c r="L31" i="7"/>
  <c r="K31" i="7"/>
  <c r="H31" i="7"/>
  <c r="G31" i="7"/>
  <c r="F31" i="7"/>
  <c r="E31" i="7"/>
  <c r="D31" i="7"/>
  <c r="C31" i="7"/>
  <c r="X37" i="6"/>
  <c r="W37" i="6"/>
  <c r="V37" i="6"/>
  <c r="U37" i="6"/>
  <c r="T37" i="6"/>
  <c r="S37" i="6"/>
  <c r="P37" i="6"/>
  <c r="O37" i="6"/>
  <c r="N37" i="6"/>
  <c r="M37" i="6"/>
  <c r="L37" i="6"/>
  <c r="K37" i="6"/>
  <c r="H37" i="6"/>
  <c r="G37" i="6"/>
  <c r="F37" i="6"/>
  <c r="E37" i="6"/>
  <c r="D37" i="6"/>
  <c r="C37" i="6"/>
  <c r="X36" i="6"/>
  <c r="W36" i="6"/>
  <c r="V36" i="6"/>
  <c r="U36" i="6"/>
  <c r="T36" i="6"/>
  <c r="S36" i="6"/>
  <c r="P36" i="6"/>
  <c r="O36" i="6"/>
  <c r="N36" i="6"/>
  <c r="M36" i="6"/>
  <c r="L36" i="6"/>
  <c r="K36" i="6"/>
  <c r="H36" i="6"/>
  <c r="G36" i="6"/>
  <c r="F36" i="6"/>
  <c r="E36" i="6"/>
  <c r="D36" i="6"/>
  <c r="C36" i="6"/>
  <c r="X35" i="6"/>
  <c r="W35" i="6"/>
  <c r="V35" i="6"/>
  <c r="U35" i="6"/>
  <c r="T35" i="6"/>
  <c r="S35" i="6"/>
  <c r="P35" i="6"/>
  <c r="O35" i="6"/>
  <c r="N35" i="6"/>
  <c r="M35" i="6"/>
  <c r="L35" i="6"/>
  <c r="K35" i="6"/>
  <c r="H35" i="6"/>
  <c r="G35" i="6"/>
  <c r="F35" i="6"/>
  <c r="E35" i="6"/>
  <c r="D35" i="6"/>
  <c r="C35" i="6"/>
  <c r="X34" i="6"/>
  <c r="W34" i="6"/>
  <c r="V34" i="6"/>
  <c r="U34" i="6"/>
  <c r="T34" i="6"/>
  <c r="S34" i="6"/>
  <c r="P34" i="6"/>
  <c r="O34" i="6"/>
  <c r="N34" i="6"/>
  <c r="M34" i="6"/>
  <c r="L34" i="6"/>
  <c r="K34" i="6"/>
  <c r="H34" i="6"/>
  <c r="G34" i="6"/>
  <c r="F34" i="6"/>
  <c r="E34" i="6"/>
  <c r="D34" i="6"/>
  <c r="C34" i="6"/>
  <c r="X33" i="6"/>
  <c r="W33" i="6"/>
  <c r="V33" i="6"/>
  <c r="U33" i="6"/>
  <c r="T33" i="6"/>
  <c r="S33" i="6"/>
  <c r="P33" i="6"/>
  <c r="O33" i="6"/>
  <c r="N33" i="6"/>
  <c r="M33" i="6"/>
  <c r="L33" i="6"/>
  <c r="K33" i="6"/>
  <c r="H33" i="6"/>
  <c r="G33" i="6"/>
  <c r="F33" i="6"/>
  <c r="E33" i="6"/>
  <c r="D33" i="6"/>
  <c r="C33" i="6"/>
  <c r="X32" i="6"/>
  <c r="W32" i="6"/>
  <c r="V32" i="6"/>
  <c r="U32" i="6"/>
  <c r="T32" i="6"/>
  <c r="S32" i="6"/>
  <c r="P32" i="6"/>
  <c r="O32" i="6"/>
  <c r="N32" i="6"/>
  <c r="M32" i="6"/>
  <c r="L32" i="6"/>
  <c r="K32" i="6"/>
  <c r="H32" i="6"/>
  <c r="G32" i="6"/>
  <c r="F32" i="6"/>
  <c r="E32" i="6"/>
  <c r="D32" i="6"/>
  <c r="C32" i="6"/>
  <c r="X31" i="6"/>
  <c r="W31" i="6"/>
  <c r="V31" i="6"/>
  <c r="U31" i="6"/>
  <c r="T31" i="6"/>
  <c r="S31" i="6"/>
  <c r="P31" i="6"/>
  <c r="O31" i="6"/>
  <c r="N31" i="6"/>
  <c r="M31" i="6"/>
  <c r="L31" i="6"/>
  <c r="K31" i="6"/>
  <c r="H31" i="6"/>
  <c r="G31" i="6"/>
  <c r="F31" i="6"/>
  <c r="E31" i="6"/>
  <c r="D31" i="6"/>
  <c r="C31" i="6"/>
  <c r="G67" i="5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K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K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32" i="1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M7" i="3"/>
  <c r="N19" i="3"/>
  <c r="M19" i="3"/>
  <c r="L19" i="3"/>
  <c r="K19" i="3"/>
  <c r="N15" i="3"/>
  <c r="M15" i="3"/>
  <c r="L15" i="3"/>
  <c r="K15" i="3"/>
  <c r="N11" i="3"/>
  <c r="M11" i="3"/>
  <c r="L11" i="3"/>
  <c r="K11" i="3"/>
  <c r="N7" i="3"/>
  <c r="L7" i="3"/>
  <c r="K7" i="3"/>
  <c r="T20" i="2"/>
  <c r="D20" i="2"/>
  <c r="K67" i="2" l="1"/>
  <c r="S67" i="5"/>
  <c r="S67" i="4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G33" i="1"/>
  <c r="G34" i="1"/>
  <c r="G35" i="1"/>
  <c r="G36" i="1"/>
  <c r="G37" i="1"/>
  <c r="G38" i="1"/>
  <c r="F33" i="1"/>
  <c r="F34" i="1"/>
  <c r="F35" i="1"/>
  <c r="F36" i="1"/>
  <c r="F37" i="1"/>
  <c r="F38" i="1"/>
  <c r="E33" i="1"/>
  <c r="E34" i="1"/>
  <c r="E35" i="1"/>
  <c r="E36" i="1"/>
  <c r="E37" i="1"/>
  <c r="E38" i="1"/>
  <c r="E32" i="1"/>
  <c r="G32" i="1"/>
  <c r="D33" i="1"/>
  <c r="D34" i="1"/>
  <c r="D35" i="1"/>
  <c r="D36" i="1"/>
  <c r="D37" i="1"/>
  <c r="D38" i="1"/>
  <c r="D32" i="1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C32" i="1"/>
  <c r="H33" i="1"/>
  <c r="H34" i="1"/>
  <c r="H35" i="1"/>
  <c r="H36" i="1"/>
  <c r="H37" i="1"/>
  <c r="H38" i="1"/>
  <c r="H32" i="1"/>
  <c r="C33" i="1"/>
  <c r="C34" i="1"/>
  <c r="C35" i="1"/>
  <c r="C36" i="1"/>
  <c r="C37" i="1"/>
  <c r="C38" i="1"/>
  <c r="S53" i="2" l="1"/>
  <c r="S67" i="2"/>
</calcChain>
</file>

<file path=xl/sharedStrings.xml><?xml version="1.0" encoding="utf-8"?>
<sst xmlns="http://schemas.openxmlformats.org/spreadsheetml/2006/main" count="1029" uniqueCount="56">
  <si>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</si>
  <si>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</si>
  <si>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</si>
  <si>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</si>
  <si>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</si>
  <si>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</si>
  <si>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</si>
  <si>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</si>
  <si>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</si>
  <si>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</si>
  <si>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</si>
  <si>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</si>
  <si>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</si>
  <si>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ifo</t>
  </si>
  <si>
    <t>AR2-50</t>
  </si>
  <si>
    <r>
      <rPr>
        <i/>
        <sz val="11"/>
        <color theme="1"/>
        <rFont val="Calibri"/>
        <family val="2"/>
        <scheme val="minor"/>
      </rPr>
      <t>Hier zu sehen</t>
    </r>
    <r>
      <rPr>
        <sz val="11"/>
        <color theme="1"/>
        <rFont val="Calibri"/>
        <family val="2"/>
        <scheme val="minor"/>
      </rPr>
      <t>: Wie viel schlechter ist der Naive Prognostiker?</t>
    </r>
  </si>
  <si>
    <t>Qminus1</t>
  </si>
  <si>
    <t>ifoCAST - Release matched</t>
  </si>
  <si>
    <t>ifo - ifoCAST Sample</t>
  </si>
  <si>
    <t>ifoCAST - all observations</t>
  </si>
  <si>
    <t>Grün bedeutet niedrigere Fehler der offiziellen ifo-Prognose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</si>
  <si>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</si>
  <si>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</si>
  <si>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</si>
  <si>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</si>
  <si>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</si>
  <si>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</si>
  <si>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AR2-50 / ifo</t>
  </si>
  <si>
    <t>AVERAGE-1</t>
  </si>
  <si>
    <t>AVERAGE-10</t>
  </si>
  <si>
    <t>AVG-1 / ifo</t>
  </si>
  <si>
    <t>AVG-10 / ifo</t>
  </si>
  <si>
    <t>Average1 - ifoCAST sample</t>
  </si>
  <si>
    <t>Average-10 - ifoCAST sample</t>
  </si>
  <si>
    <t>ifoCAST-long-term</t>
  </si>
  <si>
    <t>AVERAGE1</t>
  </si>
  <si>
    <t>AVERAGE10</t>
  </si>
  <si>
    <t>ifo-qoq-subset</t>
  </si>
  <si>
    <t>ifo/ifoCAST</t>
  </si>
  <si>
    <t>AR2/ifoCAST</t>
  </si>
  <si>
    <t>AVG1/ifoCAST</t>
  </si>
  <si>
    <t>AVGG10-ifoCAST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</si>
  <si>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</si>
  <si>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</si>
  <si>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</si>
  <si>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</si>
  <si>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</si>
  <si>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</si>
  <si>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</si>
  <si>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</si>
  <si>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</si>
  <si>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</si>
  <si>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</si>
  <si>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</si>
  <si>
    <t>ifoCAST full</t>
  </si>
  <si>
    <t>ifo judgemental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</si>
</sst>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20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1"/>
  <sheetViews>
    <sheetView zoomScale="75" zoomScaleNormal="115" workbookViewId="0">
      <selection activeCell="B3" sqref="B3:X38"/>
    </sheetView>
  </sheetViews>
  <sheetFormatPr baseColWidth="10" defaultColWidth="8.7265625" defaultRowHeight="14.5" x14ac:dyDescent="0.35"/>
  <cols>
    <col min="10" max="10" width="11.453125" customWidth="1"/>
    <col min="18" max="18" width="10.26953125" customWidth="1"/>
    <col min="26" max="26" width="13.81640625" customWidth="1"/>
  </cols>
  <sheetData>
    <row r="3" spans="2:24" x14ac:dyDescent="0.35">
      <c r="B3" s="3" t="s">
        <v>14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J3" s="11" t="s">
        <v>28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R3" s="11" t="s">
        <v>29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</row>
    <row r="4" spans="2:24" x14ac:dyDescent="0.35">
      <c r="B4" s="1" t="s">
        <v>6</v>
      </c>
      <c r="C4">
        <v>-3.4319320557607141E-2</v>
      </c>
      <c r="D4">
        <v>1.149481140906254</v>
      </c>
      <c r="E4">
        <v>7.7575823867977167</v>
      </c>
      <c r="F4">
        <v>2.7852436853528131</v>
      </c>
      <c r="G4">
        <v>2.8127446849038509</v>
      </c>
      <c r="H4">
        <v>51</v>
      </c>
      <c r="J4" s="1" t="s">
        <v>6</v>
      </c>
      <c r="K4">
        <v>5.2617538454163511E-2</v>
      </c>
      <c r="L4">
        <v>1.350476871904311</v>
      </c>
      <c r="M4">
        <v>10.100039557875281</v>
      </c>
      <c r="N4">
        <v>3.178055940016677</v>
      </c>
      <c r="O4">
        <v>3.2092392200602249</v>
      </c>
      <c r="P4">
        <v>51</v>
      </c>
      <c r="R4" s="1" t="s">
        <v>6</v>
      </c>
      <c r="S4">
        <v>0.14202813987993471</v>
      </c>
      <c r="T4">
        <v>0.96300297170131</v>
      </c>
      <c r="U4">
        <v>4.4252796067771811</v>
      </c>
      <c r="V4">
        <v>2.103634855857162</v>
      </c>
      <c r="W4">
        <v>2.1197192659747688</v>
      </c>
      <c r="X4">
        <v>51</v>
      </c>
    </row>
    <row r="5" spans="2:24" x14ac:dyDescent="0.35">
      <c r="B5" s="1" t="s">
        <v>7</v>
      </c>
      <c r="C5">
        <v>8.3795875988064997E-2</v>
      </c>
      <c r="D5">
        <v>1.1416464235002799</v>
      </c>
      <c r="E5">
        <v>5.7207270743778</v>
      </c>
      <c r="F5">
        <v>2.3918041463250712</v>
      </c>
      <c r="G5">
        <v>2.414603809464146</v>
      </c>
      <c r="H5">
        <v>50</v>
      </c>
      <c r="J5" s="1" t="s">
        <v>7</v>
      </c>
      <c r="K5">
        <v>2.3109086886006651E-2</v>
      </c>
      <c r="L5">
        <v>1.508687381939164</v>
      </c>
      <c r="M5">
        <v>9.6758019978088754</v>
      </c>
      <c r="N5">
        <v>3.110595119556526</v>
      </c>
      <c r="O5">
        <v>3.1420888619256</v>
      </c>
      <c r="P5">
        <v>50</v>
      </c>
      <c r="R5" s="1" t="s">
        <v>7</v>
      </c>
      <c r="S5">
        <v>0.1234272948742712</v>
      </c>
      <c r="T5">
        <v>1.013190509142516</v>
      </c>
      <c r="U5">
        <v>4.4563240629570808</v>
      </c>
      <c r="V5">
        <v>2.111000725475261</v>
      </c>
      <c r="W5">
        <v>2.1287846887024959</v>
      </c>
      <c r="X5">
        <v>50</v>
      </c>
    </row>
    <row r="6" spans="2:24" x14ac:dyDescent="0.35">
      <c r="B6" s="1" t="s">
        <v>8</v>
      </c>
      <c r="C6">
        <v>3.3487213074870632E-2</v>
      </c>
      <c r="D6">
        <v>0.98554429105225694</v>
      </c>
      <c r="E6">
        <v>4.4796768305751504</v>
      </c>
      <c r="F6">
        <v>2.11652470587403</v>
      </c>
      <c r="G6">
        <v>2.1381905142922339</v>
      </c>
      <c r="H6">
        <v>49</v>
      </c>
      <c r="J6" s="1" t="s">
        <v>8</v>
      </c>
      <c r="K6">
        <v>6.1955097053347598E-2</v>
      </c>
      <c r="L6">
        <v>1.3739833536321711</v>
      </c>
      <c r="M6">
        <v>6.861338155303133</v>
      </c>
      <c r="N6">
        <v>2.6194156133197222</v>
      </c>
      <c r="O6">
        <v>2.6458201561667658</v>
      </c>
      <c r="P6">
        <v>49</v>
      </c>
      <c r="R6" s="1" t="s">
        <v>8</v>
      </c>
      <c r="S6">
        <v>0.16076159397530951</v>
      </c>
      <c r="T6">
        <v>0.93108963635272501</v>
      </c>
      <c r="U6">
        <v>4.1994344633883944</v>
      </c>
      <c r="V6">
        <v>2.0492521717417782</v>
      </c>
      <c r="W6">
        <v>2.0641075477231809</v>
      </c>
      <c r="X6">
        <v>49</v>
      </c>
    </row>
    <row r="7" spans="2:24" x14ac:dyDescent="0.35">
      <c r="B7" s="1" t="s">
        <v>9</v>
      </c>
      <c r="C7">
        <v>0.12271822850507511</v>
      </c>
      <c r="D7">
        <v>1.0477509342532769</v>
      </c>
      <c r="E7">
        <v>5.0806681714843096</v>
      </c>
      <c r="F7">
        <v>2.2540337556221979</v>
      </c>
      <c r="G7">
        <v>2.2745081468687109</v>
      </c>
      <c r="H7">
        <v>48</v>
      </c>
      <c r="J7" s="1" t="s">
        <v>9</v>
      </c>
      <c r="K7">
        <v>6.7302516489523415E-2</v>
      </c>
      <c r="L7">
        <v>1.433898174105932</v>
      </c>
      <c r="M7">
        <v>8.4962428953579501</v>
      </c>
      <c r="N7">
        <v>2.914831538075219</v>
      </c>
      <c r="O7">
        <v>2.944891851492343</v>
      </c>
      <c r="P7">
        <v>48</v>
      </c>
      <c r="R7" s="1" t="s">
        <v>9</v>
      </c>
      <c r="S7">
        <v>0.17052831194693471</v>
      </c>
      <c r="T7">
        <v>1.0395689015880289</v>
      </c>
      <c r="U7">
        <v>4.6797210224128243</v>
      </c>
      <c r="V7">
        <v>2.1632662855998159</v>
      </c>
      <c r="W7">
        <v>2.1793556222522299</v>
      </c>
      <c r="X7">
        <v>48</v>
      </c>
    </row>
    <row r="8" spans="2:24" x14ac:dyDescent="0.35">
      <c r="B8" s="1" t="s">
        <v>10</v>
      </c>
      <c r="C8">
        <v>8.0187389786895186E-2</v>
      </c>
      <c r="D8">
        <v>1.023488330645639</v>
      </c>
      <c r="E8">
        <v>5.2019832307021501</v>
      </c>
      <c r="F8">
        <v>2.2807856608419281</v>
      </c>
      <c r="G8">
        <v>2.3040182339131752</v>
      </c>
      <c r="H8">
        <v>47</v>
      </c>
      <c r="J8" s="1" t="s">
        <v>10</v>
      </c>
      <c r="K8">
        <v>4.8994552597743837E-2</v>
      </c>
      <c r="L8">
        <v>1.5836017733553109</v>
      </c>
      <c r="M8">
        <v>9.9719779259633103</v>
      </c>
      <c r="N8">
        <v>3.1578438729556142</v>
      </c>
      <c r="O8">
        <v>3.1915995056643398</v>
      </c>
      <c r="P8">
        <v>47</v>
      </c>
      <c r="R8" s="1" t="s">
        <v>10</v>
      </c>
      <c r="S8">
        <v>0.15253916865165029</v>
      </c>
      <c r="T8">
        <v>0.98557848140257809</v>
      </c>
      <c r="U8">
        <v>4.4781135178290556</v>
      </c>
      <c r="V8">
        <v>2.1161553624034921</v>
      </c>
      <c r="W8">
        <v>2.1334689553239938</v>
      </c>
      <c r="X8">
        <v>47</v>
      </c>
    </row>
    <row r="9" spans="2:24" x14ac:dyDescent="0.35">
      <c r="B9" s="1" t="s">
        <v>11</v>
      </c>
      <c r="C9">
        <v>9.1702274975631506E-2</v>
      </c>
      <c r="D9">
        <v>1.15614023276074</v>
      </c>
      <c r="E9">
        <v>5.9121764880496439</v>
      </c>
      <c r="F9">
        <v>2.431496758798918</v>
      </c>
      <c r="G9">
        <v>2.465239824441904</v>
      </c>
      <c r="H9">
        <v>35</v>
      </c>
      <c r="J9" s="1" t="s">
        <v>11</v>
      </c>
      <c r="K9">
        <v>1.4560923454902061E-3</v>
      </c>
      <c r="L9">
        <v>1.845568288834279</v>
      </c>
      <c r="M9">
        <v>10.82579718395967</v>
      </c>
      <c r="N9">
        <v>3.290257920583076</v>
      </c>
      <c r="O9">
        <v>3.338293096917047</v>
      </c>
      <c r="P9">
        <v>35</v>
      </c>
      <c r="R9" s="1" t="s">
        <v>11</v>
      </c>
      <c r="S9">
        <v>0.1499266526596538</v>
      </c>
      <c r="T9">
        <v>1.0644144205126831</v>
      </c>
      <c r="U9">
        <v>5.4381960604279769</v>
      </c>
      <c r="V9">
        <v>2.3319940095180298</v>
      </c>
      <c r="W9">
        <v>2.361144613216716</v>
      </c>
      <c r="X9">
        <v>35</v>
      </c>
    </row>
    <row r="10" spans="2:24" x14ac:dyDescent="0.35">
      <c r="B10" s="1" t="s">
        <v>12</v>
      </c>
      <c r="C10">
        <v>0.13410926528643671</v>
      </c>
      <c r="D10">
        <v>1.214274493381182</v>
      </c>
      <c r="E10">
        <v>6.0744749932974367</v>
      </c>
      <c r="F10">
        <v>2.464645003504041</v>
      </c>
      <c r="G10">
        <v>2.4980031403339318</v>
      </c>
      <c r="H10">
        <v>34</v>
      </c>
      <c r="J10" s="1" t="s">
        <v>12</v>
      </c>
      <c r="K10">
        <v>5.7178231243589249E-2</v>
      </c>
      <c r="L10">
        <v>1.8940347565242091</v>
      </c>
      <c r="M10">
        <v>11.28985814625171</v>
      </c>
      <c r="N10">
        <v>3.3600384144011972</v>
      </c>
      <c r="O10">
        <v>3.410074286350715</v>
      </c>
      <c r="P10">
        <v>34</v>
      </c>
      <c r="R10" s="1" t="s">
        <v>12</v>
      </c>
      <c r="S10">
        <v>0.19764100096108461</v>
      </c>
      <c r="T10">
        <v>1.0906815684820439</v>
      </c>
      <c r="U10">
        <v>5.6314412006885792</v>
      </c>
      <c r="V10">
        <v>2.3730657809442581</v>
      </c>
      <c r="W10">
        <v>2.4003844010626469</v>
      </c>
      <c r="X10">
        <v>34</v>
      </c>
    </row>
    <row r="11" spans="2:24" x14ac:dyDescent="0.35">
      <c r="B11" s="1"/>
    </row>
    <row r="12" spans="2:24" x14ac:dyDescent="0.35">
      <c r="B12" s="1"/>
    </row>
    <row r="13" spans="2:24" x14ac:dyDescent="0.35">
      <c r="B13" s="1"/>
    </row>
    <row r="15" spans="2:24" x14ac:dyDescent="0.35">
      <c r="B15" s="4" t="s">
        <v>13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J15" s="4" t="s">
        <v>13</v>
      </c>
      <c r="K15" s="1" t="s">
        <v>0</v>
      </c>
      <c r="L15" s="1" t="s">
        <v>1</v>
      </c>
      <c r="M15" s="1" t="s">
        <v>2</v>
      </c>
      <c r="N15" s="1" t="s">
        <v>3</v>
      </c>
      <c r="O15" s="1" t="s">
        <v>4</v>
      </c>
      <c r="P15" s="1" t="s">
        <v>5</v>
      </c>
      <c r="R15" s="4" t="s">
        <v>13</v>
      </c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</row>
    <row r="16" spans="2:24" x14ac:dyDescent="0.35">
      <c r="B16" s="1" t="s">
        <v>6</v>
      </c>
      <c r="C16">
        <v>1.8894819948107499E-2</v>
      </c>
      <c r="D16">
        <v>0.41877558061818437</v>
      </c>
      <c r="E16">
        <v>0.43705141626484711</v>
      </c>
      <c r="F16">
        <v>0.66109864336938939</v>
      </c>
      <c r="G16">
        <v>0.66740414299347528</v>
      </c>
      <c r="H16">
        <v>51</v>
      </c>
      <c r="J16" s="1" t="s">
        <v>6</v>
      </c>
      <c r="K16">
        <v>1.8894819948107499E-2</v>
      </c>
      <c r="L16">
        <v>0.41877558061818437</v>
      </c>
      <c r="M16">
        <v>0.43705141626484711</v>
      </c>
      <c r="N16">
        <v>0.66109864336938939</v>
      </c>
      <c r="O16">
        <v>0.66740414299347528</v>
      </c>
      <c r="P16">
        <v>51</v>
      </c>
      <c r="R16" s="1" t="s">
        <v>6</v>
      </c>
      <c r="S16">
        <v>1.8894819948107499E-2</v>
      </c>
      <c r="T16">
        <v>0.41877558061818437</v>
      </c>
      <c r="U16">
        <v>0.43705141626484711</v>
      </c>
      <c r="V16">
        <v>0.66109864336938939</v>
      </c>
      <c r="W16">
        <v>0.66740414299347528</v>
      </c>
      <c r="X16">
        <v>51</v>
      </c>
    </row>
    <row r="17" spans="2:26" x14ac:dyDescent="0.35">
      <c r="B17" s="1" t="s">
        <v>7</v>
      </c>
      <c r="C17">
        <v>0.42635885559725317</v>
      </c>
      <c r="D17">
        <v>0.7006187285611748</v>
      </c>
      <c r="E17">
        <v>1.430786905557154</v>
      </c>
      <c r="F17">
        <v>1.196155050801172</v>
      </c>
      <c r="G17">
        <v>1.128935308341156</v>
      </c>
      <c r="H17">
        <v>50</v>
      </c>
      <c r="J17" s="1" t="s">
        <v>7</v>
      </c>
      <c r="K17">
        <v>0.42635885559725317</v>
      </c>
      <c r="L17">
        <v>0.7006187285611748</v>
      </c>
      <c r="M17">
        <v>1.430786905557154</v>
      </c>
      <c r="N17">
        <v>1.196155050801172</v>
      </c>
      <c r="O17">
        <v>1.128935308341156</v>
      </c>
      <c r="P17">
        <v>50</v>
      </c>
      <c r="R17" s="1" t="s">
        <v>7</v>
      </c>
      <c r="S17">
        <v>0.42635885559725317</v>
      </c>
      <c r="T17">
        <v>0.7006187285611748</v>
      </c>
      <c r="U17">
        <v>1.430786905557154</v>
      </c>
      <c r="V17">
        <v>1.196155050801172</v>
      </c>
      <c r="W17">
        <v>1.128935308341156</v>
      </c>
      <c r="X17">
        <v>50</v>
      </c>
    </row>
    <row r="18" spans="2:26" x14ac:dyDescent="0.35">
      <c r="B18" s="1" t="s">
        <v>8</v>
      </c>
      <c r="C18">
        <v>0.60050446725876616</v>
      </c>
      <c r="D18">
        <v>1.0413852732308071</v>
      </c>
      <c r="E18">
        <v>4.1105719739857216</v>
      </c>
      <c r="F18">
        <v>2.027454555344145</v>
      </c>
      <c r="G18">
        <v>1.956550704154995</v>
      </c>
      <c r="H18">
        <v>49</v>
      </c>
      <c r="J18" s="1" t="s">
        <v>8</v>
      </c>
      <c r="K18">
        <v>0.60050446725876616</v>
      </c>
      <c r="L18">
        <v>1.0413852732308071</v>
      </c>
      <c r="M18">
        <v>4.1105719739857216</v>
      </c>
      <c r="N18">
        <v>2.027454555344145</v>
      </c>
      <c r="O18">
        <v>1.956550704154995</v>
      </c>
      <c r="P18">
        <v>49</v>
      </c>
      <c r="R18" s="1" t="s">
        <v>8</v>
      </c>
      <c r="S18">
        <v>0.60050446725876616</v>
      </c>
      <c r="T18">
        <v>1.0413852732308071</v>
      </c>
      <c r="U18">
        <v>4.1105719739857216</v>
      </c>
      <c r="V18">
        <v>2.027454555344145</v>
      </c>
      <c r="W18">
        <v>1.956550704154995</v>
      </c>
      <c r="X18">
        <v>49</v>
      </c>
    </row>
    <row r="19" spans="2:26" x14ac:dyDescent="0.35">
      <c r="B19" s="1" t="s">
        <v>9</v>
      </c>
      <c r="C19">
        <v>0.49659304271137639</v>
      </c>
      <c r="D19">
        <v>1.09609697646386</v>
      </c>
      <c r="E19">
        <v>4.7410656027658886</v>
      </c>
      <c r="F19">
        <v>2.1773988157353918</v>
      </c>
      <c r="G19">
        <v>2.142449014907315</v>
      </c>
      <c r="H19">
        <v>48</v>
      </c>
      <c r="J19" s="1" t="s">
        <v>9</v>
      </c>
      <c r="K19">
        <v>0.49659304271137639</v>
      </c>
      <c r="L19">
        <v>1.09609697646386</v>
      </c>
      <c r="M19">
        <v>4.7410656027658886</v>
      </c>
      <c r="N19">
        <v>2.1773988157353918</v>
      </c>
      <c r="O19">
        <v>2.142449014907315</v>
      </c>
      <c r="P19">
        <v>48</v>
      </c>
      <c r="R19" s="1" t="s">
        <v>9</v>
      </c>
      <c r="S19">
        <v>0.49659304271137639</v>
      </c>
      <c r="T19">
        <v>1.09609697646386</v>
      </c>
      <c r="U19">
        <v>4.7410656027658886</v>
      </c>
      <c r="V19">
        <v>2.1773988157353918</v>
      </c>
      <c r="W19">
        <v>2.142449014907315</v>
      </c>
      <c r="X19">
        <v>48</v>
      </c>
    </row>
    <row r="20" spans="2:26" x14ac:dyDescent="0.35">
      <c r="B20" s="1" t="s">
        <v>10</v>
      </c>
      <c r="C20">
        <v>0.41014495454715427</v>
      </c>
      <c r="D20">
        <v>0.97017111849126658</v>
      </c>
      <c r="E20">
        <v>4.3914463179094758</v>
      </c>
      <c r="F20">
        <v>2.095577800490708</v>
      </c>
      <c r="G20">
        <v>2.0772666478370421</v>
      </c>
      <c r="H20">
        <v>47</v>
      </c>
      <c r="J20" s="1" t="s">
        <v>10</v>
      </c>
      <c r="K20">
        <v>0.41014495454715427</v>
      </c>
      <c r="L20">
        <v>0.97017111849126658</v>
      </c>
      <c r="M20">
        <v>4.3914463179094758</v>
      </c>
      <c r="N20">
        <v>2.095577800490708</v>
      </c>
      <c r="O20">
        <v>2.0772666478370421</v>
      </c>
      <c r="P20">
        <v>47</v>
      </c>
      <c r="R20" s="1" t="s">
        <v>10</v>
      </c>
      <c r="S20">
        <v>0.41014495454715427</v>
      </c>
      <c r="T20">
        <v>0.97017111849126658</v>
      </c>
      <c r="U20">
        <v>4.3914463179094758</v>
      </c>
      <c r="V20">
        <v>2.095577800490708</v>
      </c>
      <c r="W20">
        <v>2.0772666478370421</v>
      </c>
      <c r="X20">
        <v>47</v>
      </c>
    </row>
    <row r="21" spans="2:26" x14ac:dyDescent="0.35">
      <c r="B21" s="1" t="s">
        <v>11</v>
      </c>
      <c r="C21">
        <v>0.40375685870853312</v>
      </c>
      <c r="D21">
        <v>1.05621660122371</v>
      </c>
      <c r="E21">
        <v>5.3658739456730213</v>
      </c>
      <c r="F21">
        <v>2.3164356122441698</v>
      </c>
      <c r="G21">
        <v>2.3142773110637989</v>
      </c>
      <c r="H21">
        <v>35</v>
      </c>
      <c r="J21" s="1" t="s">
        <v>11</v>
      </c>
      <c r="K21">
        <v>0.40375685870853312</v>
      </c>
      <c r="L21">
        <v>1.05621660122371</v>
      </c>
      <c r="M21">
        <v>5.3658739456730213</v>
      </c>
      <c r="N21">
        <v>2.3164356122441698</v>
      </c>
      <c r="O21">
        <v>2.3142773110637989</v>
      </c>
      <c r="P21">
        <v>35</v>
      </c>
      <c r="R21" s="1" t="s">
        <v>11</v>
      </c>
      <c r="S21">
        <v>0.40375685870853312</v>
      </c>
      <c r="T21">
        <v>1.05621660122371</v>
      </c>
      <c r="U21">
        <v>5.3658739456730213</v>
      </c>
      <c r="V21">
        <v>2.3164356122441698</v>
      </c>
      <c r="W21">
        <v>2.3142773110637989</v>
      </c>
      <c r="X21">
        <v>35</v>
      </c>
    </row>
    <row r="22" spans="2:26" x14ac:dyDescent="0.35">
      <c r="B22" s="1" t="s">
        <v>12</v>
      </c>
      <c r="C22">
        <v>0.39371733115308188</v>
      </c>
      <c r="D22">
        <v>1.056330459770304</v>
      </c>
      <c r="E22">
        <v>5.4805327929413288</v>
      </c>
      <c r="F22">
        <v>2.3410537783103851</v>
      </c>
      <c r="G22">
        <v>2.3424130364964091</v>
      </c>
      <c r="H22">
        <v>34</v>
      </c>
      <c r="J22" s="1" t="s">
        <v>12</v>
      </c>
      <c r="K22">
        <v>0.39371733115308188</v>
      </c>
      <c r="L22">
        <v>1.056330459770304</v>
      </c>
      <c r="M22">
        <v>5.4805327929413288</v>
      </c>
      <c r="N22">
        <v>2.3410537783103851</v>
      </c>
      <c r="O22">
        <v>2.3424130364964091</v>
      </c>
      <c r="P22">
        <v>34</v>
      </c>
      <c r="R22" s="1" t="s">
        <v>12</v>
      </c>
      <c r="S22">
        <v>0.39371733115308188</v>
      </c>
      <c r="T22">
        <v>1.056330459770304</v>
      </c>
      <c r="U22">
        <v>5.4805327929413288</v>
      </c>
      <c r="V22">
        <v>2.3410537783103851</v>
      </c>
      <c r="W22">
        <v>2.3424130364964091</v>
      </c>
      <c r="X22">
        <v>34</v>
      </c>
    </row>
    <row r="23" spans="2:26" x14ac:dyDescent="0.35">
      <c r="B23" s="1"/>
      <c r="J23" s="1"/>
      <c r="R23" s="1"/>
      <c r="Z23" s="5"/>
    </row>
    <row r="24" spans="2:26" x14ac:dyDescent="0.35">
      <c r="B24" s="1"/>
      <c r="J24" s="1"/>
      <c r="R24" s="1"/>
      <c r="Z24" s="5"/>
    </row>
    <row r="25" spans="2:26" x14ac:dyDescent="0.35">
      <c r="B25" s="1"/>
      <c r="J25" s="1"/>
      <c r="R25" s="1"/>
      <c r="Z25" s="5"/>
    </row>
    <row r="26" spans="2:26" x14ac:dyDescent="0.35">
      <c r="R26" s="5"/>
      <c r="Z26" s="5"/>
    </row>
    <row r="27" spans="2:26" x14ac:dyDescent="0.35">
      <c r="R27" s="5"/>
      <c r="Z27" s="5"/>
    </row>
    <row r="28" spans="2:26" x14ac:dyDescent="0.35">
      <c r="R28" s="5"/>
      <c r="Z28" s="5"/>
    </row>
    <row r="29" spans="2:26" x14ac:dyDescent="0.35">
      <c r="D29" t="s">
        <v>15</v>
      </c>
      <c r="R29" s="5"/>
      <c r="Z29" s="5"/>
    </row>
    <row r="30" spans="2:26" x14ac:dyDescent="0.35">
      <c r="B30" s="2" t="s">
        <v>27</v>
      </c>
      <c r="D30" t="s">
        <v>20</v>
      </c>
      <c r="J30" s="2" t="s">
        <v>30</v>
      </c>
      <c r="L30" t="s">
        <v>20</v>
      </c>
      <c r="R30" s="2" t="s">
        <v>31</v>
      </c>
      <c r="T30" t="s">
        <v>20</v>
      </c>
      <c r="Z30" s="5"/>
    </row>
    <row r="31" spans="2:26" x14ac:dyDescent="0.35"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K31" s="1" t="s">
        <v>0</v>
      </c>
      <c r="L31" s="1" t="s">
        <v>1</v>
      </c>
      <c r="M31" s="1" t="s">
        <v>2</v>
      </c>
      <c r="N31" s="1" t="s">
        <v>3</v>
      </c>
      <c r="O31" s="1" t="s">
        <v>4</v>
      </c>
      <c r="P31" s="1" t="s">
        <v>5</v>
      </c>
      <c r="S31" s="1" t="s">
        <v>0</v>
      </c>
      <c r="T31" s="1" t="s">
        <v>1</v>
      </c>
      <c r="U31" s="1" t="s">
        <v>2</v>
      </c>
      <c r="V31" s="1" t="s">
        <v>3</v>
      </c>
      <c r="W31" s="1" t="s">
        <v>4</v>
      </c>
      <c r="X31" s="1" t="s">
        <v>5</v>
      </c>
    </row>
    <row r="32" spans="2:26" x14ac:dyDescent="0.35">
      <c r="B32" s="1" t="s">
        <v>6</v>
      </c>
      <c r="C32">
        <f t="shared" ref="C32:C38" si="0">C4-C16</f>
        <v>-5.3214140505714644E-2</v>
      </c>
      <c r="D32">
        <f t="shared" ref="D32:G38" si="1">D4/D16</f>
        <v>2.7448619119802142</v>
      </c>
      <c r="E32">
        <f t="shared" si="1"/>
        <v>17.749816378805026</v>
      </c>
      <c r="F32">
        <f>F4/F16</f>
        <v>4.213053094705197</v>
      </c>
      <c r="G32">
        <f t="shared" si="1"/>
        <v>4.2144549362369617</v>
      </c>
      <c r="H32">
        <f t="shared" ref="H32:H38" si="2">H4-H16</f>
        <v>0</v>
      </c>
      <c r="J32" s="1" t="s">
        <v>6</v>
      </c>
      <c r="K32">
        <f t="shared" ref="K32:K38" si="3">K4-K16</f>
        <v>3.3722718506056015E-2</v>
      </c>
      <c r="L32">
        <f t="shared" ref="L32:O38" si="4">L4/L16</f>
        <v>3.2248223975017267</v>
      </c>
      <c r="M32">
        <f t="shared" si="4"/>
        <v>23.109499665263176</v>
      </c>
      <c r="N32">
        <f t="shared" si="4"/>
        <v>4.8072340971980116</v>
      </c>
      <c r="O32">
        <f t="shared" si="4"/>
        <v>4.8085395539589859</v>
      </c>
      <c r="P32">
        <f t="shared" ref="P32:P38" si="5">P4-P16</f>
        <v>0</v>
      </c>
      <c r="R32" s="1" t="s">
        <v>6</v>
      </c>
      <c r="S32">
        <f t="shared" ref="S32:S38" si="6">S4-S16</f>
        <v>0.1231333199318272</v>
      </c>
      <c r="T32">
        <f t="shared" ref="T32:W38" si="7">T4/T16</f>
        <v>2.2995681130207091</v>
      </c>
      <c r="U32">
        <f t="shared" si="7"/>
        <v>10.125306639197625</v>
      </c>
      <c r="V32">
        <f t="shared" si="7"/>
        <v>3.1820286986759925</v>
      </c>
      <c r="W32">
        <f t="shared" si="7"/>
        <v>3.1760654892960289</v>
      </c>
      <c r="X32">
        <f t="shared" ref="X32:X38" si="8">X4-X16</f>
        <v>0</v>
      </c>
    </row>
    <row r="33" spans="2:24" x14ac:dyDescent="0.35">
      <c r="B33" s="1" t="s">
        <v>7</v>
      </c>
      <c r="C33">
        <f t="shared" si="0"/>
        <v>-0.34256297960918819</v>
      </c>
      <c r="D33">
        <f t="shared" si="1"/>
        <v>1.629483165322773</v>
      </c>
      <c r="E33">
        <f t="shared" si="1"/>
        <v>3.9983082401429488</v>
      </c>
      <c r="F33">
        <f t="shared" si="1"/>
        <v>1.9995770153067247</v>
      </c>
      <c r="G33">
        <f t="shared" si="1"/>
        <v>2.1388327494266575</v>
      </c>
      <c r="H33">
        <f t="shared" si="2"/>
        <v>0</v>
      </c>
      <c r="J33" s="1" t="s">
        <v>7</v>
      </c>
      <c r="K33">
        <f t="shared" si="3"/>
        <v>-0.40324976871124651</v>
      </c>
      <c r="L33">
        <f t="shared" si="4"/>
        <v>2.1533643341757061</v>
      </c>
      <c r="M33">
        <f t="shared" si="4"/>
        <v>6.7625737698802046</v>
      </c>
      <c r="N33">
        <f t="shared" si="4"/>
        <v>2.6004949086433924</v>
      </c>
      <c r="O33">
        <f t="shared" si="4"/>
        <v>2.7832319874400491</v>
      </c>
      <c r="P33">
        <f t="shared" si="5"/>
        <v>0</v>
      </c>
      <c r="R33" s="1" t="s">
        <v>7</v>
      </c>
      <c r="S33">
        <f t="shared" si="6"/>
        <v>-0.302931560722982</v>
      </c>
      <c r="T33">
        <f t="shared" si="7"/>
        <v>1.4461367757371459</v>
      </c>
      <c r="U33">
        <f t="shared" si="7"/>
        <v>3.114596622074739</v>
      </c>
      <c r="V33">
        <f t="shared" si="7"/>
        <v>1.7648219802786729</v>
      </c>
      <c r="W33">
        <f t="shared" si="7"/>
        <v>1.8856569308922639</v>
      </c>
      <c r="X33">
        <f t="shared" si="8"/>
        <v>0</v>
      </c>
    </row>
    <row r="34" spans="2:24" x14ac:dyDescent="0.35">
      <c r="B34" s="1" t="s">
        <v>8</v>
      </c>
      <c r="C34">
        <f t="shared" si="0"/>
        <v>-0.56701725418389548</v>
      </c>
      <c r="D34">
        <f t="shared" si="1"/>
        <v>0.94637817183134498</v>
      </c>
      <c r="E34">
        <f t="shared" si="1"/>
        <v>1.0897940381351685</v>
      </c>
      <c r="F34">
        <f t="shared" si="1"/>
        <v>1.0439320083871206</v>
      </c>
      <c r="G34">
        <f t="shared" si="1"/>
        <v>1.0928367507938856</v>
      </c>
      <c r="H34">
        <f t="shared" si="2"/>
        <v>0</v>
      </c>
      <c r="J34" s="1" t="s">
        <v>8</v>
      </c>
      <c r="K34">
        <f t="shared" si="3"/>
        <v>-0.5385493702054186</v>
      </c>
      <c r="L34">
        <f t="shared" si="4"/>
        <v>1.3193804338806399</v>
      </c>
      <c r="M34">
        <f t="shared" si="4"/>
        <v>1.6691930463025548</v>
      </c>
      <c r="N34">
        <f t="shared" si="4"/>
        <v>1.2919725408469618</v>
      </c>
      <c r="O34">
        <f t="shared" si="4"/>
        <v>1.3522880600783898</v>
      </c>
      <c r="P34">
        <f t="shared" si="5"/>
        <v>0</v>
      </c>
      <c r="R34" s="1" t="s">
        <v>8</v>
      </c>
      <c r="S34">
        <f t="shared" si="6"/>
        <v>-0.43974287328345663</v>
      </c>
      <c r="T34">
        <f t="shared" si="7"/>
        <v>0.89408757765903535</v>
      </c>
      <c r="U34">
        <f t="shared" si="7"/>
        <v>1.0216180351457291</v>
      </c>
      <c r="V34">
        <f t="shared" si="7"/>
        <v>1.0107512231730063</v>
      </c>
      <c r="W34">
        <f t="shared" si="7"/>
        <v>1.0549726839891114</v>
      </c>
      <c r="X34">
        <f t="shared" si="8"/>
        <v>0</v>
      </c>
    </row>
    <row r="35" spans="2:24" x14ac:dyDescent="0.35">
      <c r="B35" s="1" t="s">
        <v>9</v>
      </c>
      <c r="C35">
        <f t="shared" si="0"/>
        <v>-0.37387481420630131</v>
      </c>
      <c r="D35">
        <f t="shared" si="1"/>
        <v>0.95589255034116316</v>
      </c>
      <c r="E35">
        <f t="shared" si="1"/>
        <v>1.0716300083509287</v>
      </c>
      <c r="F35">
        <f t="shared" si="1"/>
        <v>1.0351956377182667</v>
      </c>
      <c r="G35">
        <f t="shared" si="1"/>
        <v>1.0616393347251296</v>
      </c>
      <c r="H35">
        <f t="shared" si="2"/>
        <v>0</v>
      </c>
      <c r="J35" s="1" t="s">
        <v>9</v>
      </c>
      <c r="K35">
        <f t="shared" si="3"/>
        <v>-0.42929052622185299</v>
      </c>
      <c r="L35">
        <f t="shared" si="4"/>
        <v>1.308185502647639</v>
      </c>
      <c r="M35">
        <f t="shared" si="4"/>
        <v>1.7920534342324497</v>
      </c>
      <c r="N35">
        <f t="shared" si="4"/>
        <v>1.3386760004692881</v>
      </c>
      <c r="O35">
        <f t="shared" si="4"/>
        <v>1.3745446594068624</v>
      </c>
      <c r="P35">
        <f t="shared" si="5"/>
        <v>0</v>
      </c>
      <c r="R35" s="1" t="s">
        <v>9</v>
      </c>
      <c r="S35">
        <f t="shared" si="6"/>
        <v>-0.32606473076444165</v>
      </c>
      <c r="T35">
        <f t="shared" si="7"/>
        <v>0.94842785256264706</v>
      </c>
      <c r="U35">
        <f t="shared" si="7"/>
        <v>0.98706101423332415</v>
      </c>
      <c r="V35">
        <f t="shared" si="7"/>
        <v>0.9935094434545273</v>
      </c>
      <c r="W35">
        <f t="shared" si="7"/>
        <v>1.0172263643559851</v>
      </c>
      <c r="X35">
        <f t="shared" si="8"/>
        <v>0</v>
      </c>
    </row>
    <row r="36" spans="2:24" x14ac:dyDescent="0.35">
      <c r="B36" s="1" t="s">
        <v>10</v>
      </c>
      <c r="C36">
        <f t="shared" si="0"/>
        <v>-0.32995756476025906</v>
      </c>
      <c r="D36">
        <f t="shared" si="1"/>
        <v>1.0549565031757357</v>
      </c>
      <c r="E36">
        <f t="shared" si="1"/>
        <v>1.1845717456426808</v>
      </c>
      <c r="F36">
        <f t="shared" si="1"/>
        <v>1.0883803313376632</v>
      </c>
      <c r="G36">
        <f t="shared" si="1"/>
        <v>1.1091586322402271</v>
      </c>
      <c r="H36">
        <f t="shared" si="2"/>
        <v>0</v>
      </c>
      <c r="J36" s="1" t="s">
        <v>10</v>
      </c>
      <c r="K36">
        <f t="shared" si="3"/>
        <v>-0.36115040194941045</v>
      </c>
      <c r="L36">
        <f t="shared" si="4"/>
        <v>1.6322911939679292</v>
      </c>
      <c r="M36">
        <f t="shared" si="4"/>
        <v>2.2707730447016865</v>
      </c>
      <c r="N36">
        <f t="shared" si="4"/>
        <v>1.5069084393889658</v>
      </c>
      <c r="O36">
        <f t="shared" si="4"/>
        <v>1.5364418954050021</v>
      </c>
      <c r="P36">
        <f t="shared" si="5"/>
        <v>0</v>
      </c>
      <c r="R36" s="1" t="s">
        <v>10</v>
      </c>
      <c r="S36">
        <f t="shared" si="6"/>
        <v>-0.25760578589550398</v>
      </c>
      <c r="T36">
        <f t="shared" si="7"/>
        <v>1.0158810776961407</v>
      </c>
      <c r="U36">
        <f t="shared" si="7"/>
        <v>1.0197354569874002</v>
      </c>
      <c r="V36">
        <f t="shared" si="7"/>
        <v>1.0098195170362874</v>
      </c>
      <c r="W36">
        <f t="shared" si="7"/>
        <v>1.027055894603359</v>
      </c>
      <c r="X36">
        <f t="shared" si="8"/>
        <v>0</v>
      </c>
    </row>
    <row r="37" spans="2:24" x14ac:dyDescent="0.35">
      <c r="B37" s="1" t="s">
        <v>11</v>
      </c>
      <c r="C37">
        <f t="shared" si="0"/>
        <v>-0.31205458373290162</v>
      </c>
      <c r="D37">
        <f t="shared" si="1"/>
        <v>1.0946052461410478</v>
      </c>
      <c r="E37">
        <f t="shared" si="1"/>
        <v>1.1018105434282806</v>
      </c>
      <c r="F37">
        <f t="shared" si="1"/>
        <v>1.0496716360025551</v>
      </c>
      <c r="G37">
        <f t="shared" si="1"/>
        <v>1.0652309525122174</v>
      </c>
      <c r="H37">
        <f t="shared" si="2"/>
        <v>0</v>
      </c>
      <c r="J37" s="1" t="s">
        <v>11</v>
      </c>
      <c r="K37">
        <f t="shared" si="3"/>
        <v>-0.40230076636304291</v>
      </c>
      <c r="L37">
        <f t="shared" si="4"/>
        <v>1.747338838166379</v>
      </c>
      <c r="M37">
        <f t="shared" si="4"/>
        <v>2.0175273019019517</v>
      </c>
      <c r="N37">
        <f t="shared" si="4"/>
        <v>1.4203968818263264</v>
      </c>
      <c r="O37">
        <f t="shared" si="4"/>
        <v>1.4424775634958549</v>
      </c>
      <c r="P37">
        <f t="shared" si="5"/>
        <v>0</v>
      </c>
      <c r="R37" s="1" t="s">
        <v>11</v>
      </c>
      <c r="S37">
        <f t="shared" si="6"/>
        <v>-0.25383020604887929</v>
      </c>
      <c r="T37">
        <f t="shared" si="7"/>
        <v>1.0077614944505466</v>
      </c>
      <c r="U37">
        <f t="shared" si="7"/>
        <v>1.0134781613372179</v>
      </c>
      <c r="V37">
        <f t="shared" si="7"/>
        <v>1.0067165248158083</v>
      </c>
      <c r="W37">
        <f t="shared" si="7"/>
        <v>1.0202513769326</v>
      </c>
      <c r="X37">
        <f t="shared" si="8"/>
        <v>0</v>
      </c>
    </row>
    <row r="38" spans="2:24" x14ac:dyDescent="0.35">
      <c r="B38" s="1" t="s">
        <v>12</v>
      </c>
      <c r="C38">
        <f t="shared" si="0"/>
        <v>-0.2596080658666452</v>
      </c>
      <c r="D38">
        <f t="shared" si="1"/>
        <v>1.1495214231020303</v>
      </c>
      <c r="E38">
        <f t="shared" si="1"/>
        <v>1.108373076632454</v>
      </c>
      <c r="F38">
        <f t="shared" si="1"/>
        <v>1.052792988498904</v>
      </c>
      <c r="G38">
        <f t="shared" si="1"/>
        <v>1.0664230011587716</v>
      </c>
      <c r="H38">
        <f t="shared" si="2"/>
        <v>0</v>
      </c>
      <c r="J38" s="9" t="s">
        <v>12</v>
      </c>
      <c r="K38">
        <f t="shared" si="3"/>
        <v>-0.33653909990949266</v>
      </c>
      <c r="L38">
        <f t="shared" si="4"/>
        <v>1.7930324161399847</v>
      </c>
      <c r="M38">
        <f t="shared" si="4"/>
        <v>2.0599928096028406</v>
      </c>
      <c r="N38">
        <f t="shared" si="4"/>
        <v>1.435267504545003</v>
      </c>
      <c r="O38">
        <f t="shared" si="4"/>
        <v>1.4557954695518716</v>
      </c>
      <c r="P38">
        <f t="shared" si="5"/>
        <v>0</v>
      </c>
      <c r="R38" s="9" t="s">
        <v>12</v>
      </c>
      <c r="S38">
        <f t="shared" si="6"/>
        <v>-0.19607633019199727</v>
      </c>
      <c r="T38">
        <f t="shared" si="7"/>
        <v>1.0325192825730023</v>
      </c>
      <c r="U38">
        <f t="shared" si="7"/>
        <v>1.0275353534863643</v>
      </c>
      <c r="V38">
        <f t="shared" si="7"/>
        <v>1.0136741850744571</v>
      </c>
      <c r="W38">
        <f t="shared" si="7"/>
        <v>1.0247485663984122</v>
      </c>
      <c r="X38">
        <f t="shared" si="8"/>
        <v>0</v>
      </c>
    </row>
    <row r="39" spans="2:24" x14ac:dyDescent="0.35">
      <c r="B39" s="1"/>
      <c r="J39" s="5"/>
    </row>
    <row r="40" spans="2:24" x14ac:dyDescent="0.35">
      <c r="B40" s="1"/>
      <c r="J40" s="5"/>
    </row>
    <row r="41" spans="2:24" x14ac:dyDescent="0.35">
      <c r="B41" s="1"/>
      <c r="J41" s="5"/>
    </row>
  </sheetData>
  <conditionalFormatting sqref="C32:G38 AA23:AE30 S26:W29">
    <cfRule type="cellIs" dxfId="199" priority="16" operator="greaterThan">
      <formula>0</formula>
    </cfRule>
  </conditionalFormatting>
  <conditionalFormatting sqref="D32:G38">
    <cfRule type="cellIs" dxfId="198" priority="9" operator="lessThan">
      <formula>1</formula>
    </cfRule>
    <cfRule type="cellIs" dxfId="197" priority="10" operator="greaterThan">
      <formula>1</formula>
    </cfRule>
  </conditionalFormatting>
  <conditionalFormatting sqref="K32:O38 K39:K41">
    <cfRule type="cellIs" dxfId="196" priority="7" operator="lessThan">
      <formula>0</formula>
    </cfRule>
    <cfRule type="cellIs" dxfId="195" priority="8" operator="greaterThan">
      <formula>0</formula>
    </cfRule>
  </conditionalFormatting>
  <conditionalFormatting sqref="L32:O38">
    <cfRule type="cellIs" dxfId="194" priority="5" operator="lessThan">
      <formula>1</formula>
    </cfRule>
    <cfRule type="cellIs" dxfId="193" priority="6" operator="greaterThan">
      <formula>1</formula>
    </cfRule>
  </conditionalFormatting>
  <conditionalFormatting sqref="S32:W38">
    <cfRule type="cellIs" dxfId="192" priority="3" operator="lessThan">
      <formula>0</formula>
    </cfRule>
    <cfRule type="cellIs" dxfId="191" priority="4" operator="greaterThan">
      <formula>0</formula>
    </cfRule>
  </conditionalFormatting>
  <conditionalFormatting sqref="T32:W38">
    <cfRule type="cellIs" dxfId="190" priority="1" operator="lessThan">
      <formula>1</formula>
    </cfRule>
    <cfRule type="cellIs" dxfId="189" priority="2" operator="greaterThan">
      <formula>1</formula>
    </cfRule>
  </conditionalFormatting>
  <conditionalFormatting sqref="AA23:AE30 S26:W29 C32:G38">
    <cfRule type="cellIs" dxfId="188" priority="1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F2D-E077-478C-8029-A099CB989E9A}">
  <dimension ref="B2:X37"/>
  <sheetViews>
    <sheetView zoomScale="96" workbookViewId="0">
      <selection activeCell="B2" sqref="B2:X3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-4.5712587642368144E-3</v>
      </c>
      <c r="D3">
        <v>0.4148257230781176</v>
      </c>
      <c r="E3">
        <v>0.39839538975850503</v>
      </c>
      <c r="F3">
        <v>0.63118570148451947</v>
      </c>
      <c r="G3">
        <v>0.6505942661800086</v>
      </c>
      <c r="H3">
        <v>17</v>
      </c>
      <c r="J3" s="1" t="s">
        <v>6</v>
      </c>
      <c r="K3">
        <v>8.7324523441785998E-2</v>
      </c>
      <c r="L3">
        <v>0.53279189833403195</v>
      </c>
      <c r="M3">
        <v>0.55280624674544487</v>
      </c>
      <c r="N3">
        <v>0.74350941268113402</v>
      </c>
      <c r="O3">
        <v>0.76108768647118064</v>
      </c>
      <c r="P3">
        <v>17</v>
      </c>
      <c r="R3" s="1" t="s">
        <v>6</v>
      </c>
      <c r="S3">
        <v>-7.7237595653683169E-2</v>
      </c>
      <c r="T3">
        <v>0.48326548433492339</v>
      </c>
      <c r="U3">
        <v>0.60103278212250355</v>
      </c>
      <c r="V3">
        <v>0.77526304060138429</v>
      </c>
      <c r="W3">
        <v>0.7951470505110364</v>
      </c>
      <c r="X3">
        <v>17</v>
      </c>
    </row>
    <row r="4" spans="2:24" x14ac:dyDescent="0.35">
      <c r="B4" s="1" t="s">
        <v>7</v>
      </c>
      <c r="C4">
        <v>-0.13667752291893939</v>
      </c>
      <c r="D4">
        <v>0.27038851827015947</v>
      </c>
      <c r="E4">
        <v>0.13949772290014409</v>
      </c>
      <c r="F4">
        <v>0.37349393957619192</v>
      </c>
      <c r="G4">
        <v>0.35828485696536538</v>
      </c>
      <c r="H4">
        <v>17</v>
      </c>
      <c r="J4" s="1" t="s">
        <v>7</v>
      </c>
      <c r="K4">
        <v>1.1442845030097109E-3</v>
      </c>
      <c r="L4">
        <v>0.39311163989494519</v>
      </c>
      <c r="M4">
        <v>0.22459680711225169</v>
      </c>
      <c r="N4">
        <v>0.4739164558361017</v>
      </c>
      <c r="O4">
        <v>0.48850047731097929</v>
      </c>
      <c r="P4">
        <v>17</v>
      </c>
      <c r="R4" s="1" t="s">
        <v>7</v>
      </c>
      <c r="S4">
        <v>-0.1634178345924594</v>
      </c>
      <c r="T4">
        <v>0.40211689075149892</v>
      </c>
      <c r="U4">
        <v>0.32221717304034853</v>
      </c>
      <c r="V4">
        <v>0.56764176470759142</v>
      </c>
      <c r="W4">
        <v>0.56034031704050291</v>
      </c>
      <c r="X4">
        <v>17</v>
      </c>
    </row>
    <row r="5" spans="2:24" x14ac:dyDescent="0.35">
      <c r="B5" s="1" t="s">
        <v>8</v>
      </c>
      <c r="C5">
        <v>5.9878446442319377E-2</v>
      </c>
      <c r="D5">
        <v>0.2837626624417619</v>
      </c>
      <c r="E5">
        <v>0.13636092996116581</v>
      </c>
      <c r="F5">
        <v>0.36927080843354748</v>
      </c>
      <c r="G5">
        <v>0.37559815023988252</v>
      </c>
      <c r="H5">
        <v>17</v>
      </c>
      <c r="J5" s="1" t="s">
        <v>8</v>
      </c>
      <c r="K5">
        <v>0.21830271146866551</v>
      </c>
      <c r="L5">
        <v>0.44247881700657232</v>
      </c>
      <c r="M5">
        <v>0.36668272547515529</v>
      </c>
      <c r="N5">
        <v>0.60554333079900668</v>
      </c>
      <c r="O5">
        <v>0.58220770981508008</v>
      </c>
      <c r="P5">
        <v>17</v>
      </c>
      <c r="R5" s="1" t="s">
        <v>8</v>
      </c>
      <c r="S5">
        <v>5.374059237319629E-2</v>
      </c>
      <c r="T5">
        <v>0.33453801096339042</v>
      </c>
      <c r="U5">
        <v>0.21703352427395009</v>
      </c>
      <c r="V5">
        <v>0.46586856974252949</v>
      </c>
      <c r="W5">
        <v>0.47700059231426639</v>
      </c>
      <c r="X5">
        <v>17</v>
      </c>
    </row>
    <row r="6" spans="2:24" x14ac:dyDescent="0.35">
      <c r="B6" s="1" t="s">
        <v>9</v>
      </c>
      <c r="C6">
        <v>-8.8113310029558772E-2</v>
      </c>
      <c r="D6">
        <v>0.30472198273040368</v>
      </c>
      <c r="E6">
        <v>0.18455892920321729</v>
      </c>
      <c r="F6">
        <v>0.42960322298979242</v>
      </c>
      <c r="G6">
        <v>0.4334104978669534</v>
      </c>
      <c r="H6">
        <v>17</v>
      </c>
      <c r="J6" s="1" t="s">
        <v>9</v>
      </c>
      <c r="K6">
        <v>7.9445406216549178E-2</v>
      </c>
      <c r="L6">
        <v>0.48609815834354891</v>
      </c>
      <c r="M6">
        <v>0.36145637849313073</v>
      </c>
      <c r="N6">
        <v>0.60121242376811435</v>
      </c>
      <c r="O6">
        <v>0.61428117038900176</v>
      </c>
      <c r="P6">
        <v>17</v>
      </c>
      <c r="R6" s="1" t="s">
        <v>9</v>
      </c>
      <c r="S6">
        <v>-8.5116712878919976E-2</v>
      </c>
      <c r="T6">
        <v>0.46912718177352591</v>
      </c>
      <c r="U6">
        <v>0.38319761523894241</v>
      </c>
      <c r="V6">
        <v>0.6190295754153774</v>
      </c>
      <c r="W6">
        <v>0.63202041735560788</v>
      </c>
      <c r="X6">
        <v>17</v>
      </c>
    </row>
    <row r="7" spans="2:24" x14ac:dyDescent="0.35">
      <c r="B7" s="1" t="s">
        <v>10</v>
      </c>
      <c r="C7">
        <v>3.0457888389859501E-2</v>
      </c>
      <c r="D7">
        <v>0.24573314386621181</v>
      </c>
      <c r="E7">
        <v>0.11297121732076169</v>
      </c>
      <c r="F7">
        <v>0.33611191189953638</v>
      </c>
      <c r="G7">
        <v>0.34503080333908898</v>
      </c>
      <c r="H7">
        <v>17</v>
      </c>
      <c r="J7" s="1" t="s">
        <v>10</v>
      </c>
      <c r="K7">
        <v>0.20208385189785921</v>
      </c>
      <c r="L7">
        <v>0.39110427302393191</v>
      </c>
      <c r="M7">
        <v>0.28499926445785462</v>
      </c>
      <c r="N7">
        <v>0.53385322370278387</v>
      </c>
      <c r="O7">
        <v>0.5093343377279087</v>
      </c>
      <c r="P7">
        <v>17</v>
      </c>
      <c r="R7" s="1" t="s">
        <v>10</v>
      </c>
      <c r="S7">
        <v>3.7521732802389969E-2</v>
      </c>
      <c r="T7">
        <v>0.28330561084826211</v>
      </c>
      <c r="U7">
        <v>0.1825500481312487</v>
      </c>
      <c r="V7">
        <v>0.42725876015741171</v>
      </c>
      <c r="W7">
        <v>0.43870668239716493</v>
      </c>
      <c r="X7">
        <v>17</v>
      </c>
    </row>
    <row r="8" spans="2:24" x14ac:dyDescent="0.35">
      <c r="B8" s="1" t="s">
        <v>11</v>
      </c>
      <c r="C8">
        <v>7.5603238509090093E-2</v>
      </c>
      <c r="D8">
        <v>0.25483479971621392</v>
      </c>
      <c r="E8">
        <v>0.1052628688958802</v>
      </c>
      <c r="F8">
        <v>0.32444239688406967</v>
      </c>
      <c r="G8">
        <v>0.33464966252137479</v>
      </c>
      <c r="H8">
        <v>9</v>
      </c>
      <c r="J8" s="1" t="s">
        <v>11</v>
      </c>
      <c r="K8">
        <v>0.33545678923344607</v>
      </c>
      <c r="L8">
        <v>0.44734195702076368</v>
      </c>
      <c r="M8">
        <v>0.3498717612155226</v>
      </c>
      <c r="N8">
        <v>0.59149958682616388</v>
      </c>
      <c r="O8">
        <v>0.51672823296612946</v>
      </c>
      <c r="P8">
        <v>9</v>
      </c>
      <c r="R8" s="1" t="s">
        <v>11</v>
      </c>
      <c r="S8">
        <v>5.0596940893992547E-2</v>
      </c>
      <c r="T8">
        <v>0.37548323130013228</v>
      </c>
      <c r="U8">
        <v>0.21691901859712159</v>
      </c>
      <c r="V8">
        <v>0.46574565869916768</v>
      </c>
      <c r="W8">
        <v>0.49107416872653042</v>
      </c>
      <c r="X8">
        <v>9</v>
      </c>
    </row>
    <row r="9" spans="2:24" x14ac:dyDescent="0.35">
      <c r="B9" s="1" t="s">
        <v>12</v>
      </c>
      <c r="C9">
        <v>0.12668746996943461</v>
      </c>
      <c r="D9">
        <v>0.33324514760015539</v>
      </c>
      <c r="E9">
        <v>0.17483878433670569</v>
      </c>
      <c r="F9">
        <v>0.41813727929557498</v>
      </c>
      <c r="G9">
        <v>0.42265553699275082</v>
      </c>
      <c r="H9">
        <v>9</v>
      </c>
      <c r="J9" s="1" t="s">
        <v>12</v>
      </c>
      <c r="K9">
        <v>0.38769278026495868</v>
      </c>
      <c r="L9">
        <v>0.56347832864528413</v>
      </c>
      <c r="M9">
        <v>0.65141078574741784</v>
      </c>
      <c r="N9">
        <v>0.80710023277621334</v>
      </c>
      <c r="O9">
        <v>0.75082836295159683</v>
      </c>
      <c r="P9">
        <v>9</v>
      </c>
      <c r="R9" s="1" t="s">
        <v>12</v>
      </c>
      <c r="S9">
        <v>0.10283293192550511</v>
      </c>
      <c r="T9">
        <v>0.32563790152264271</v>
      </c>
      <c r="U9">
        <v>0.14502931336284711</v>
      </c>
      <c r="V9">
        <v>0.38082714367918558</v>
      </c>
      <c r="W9">
        <v>0.38892356467403449</v>
      </c>
      <c r="X9">
        <v>9</v>
      </c>
    </row>
    <row r="10" spans="2:24" x14ac:dyDescent="0.35">
      <c r="B10" s="1"/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3.2784159946237117E-2</v>
      </c>
      <c r="D15">
        <v>0.26603289478395148</v>
      </c>
      <c r="E15">
        <v>0.1356844829651784</v>
      </c>
      <c r="F15">
        <v>0.36835374704918961</v>
      </c>
      <c r="G15">
        <v>0.37818353604521221</v>
      </c>
      <c r="H15">
        <v>17</v>
      </c>
      <c r="J15" s="1" t="s">
        <v>6</v>
      </c>
      <c r="K15">
        <v>3.2784159946237117E-2</v>
      </c>
      <c r="L15">
        <v>0.26603289478395148</v>
      </c>
      <c r="M15">
        <v>0.1356844829651784</v>
      </c>
      <c r="N15">
        <v>0.36835374704918961</v>
      </c>
      <c r="O15">
        <v>0.37818353604521221</v>
      </c>
      <c r="P15">
        <v>17</v>
      </c>
      <c r="R15" s="1" t="s">
        <v>6</v>
      </c>
      <c r="S15">
        <v>3.2784159946237117E-2</v>
      </c>
      <c r="T15">
        <v>0.26603289478395148</v>
      </c>
      <c r="U15">
        <v>0.1356844829651784</v>
      </c>
      <c r="V15">
        <v>0.36835374704918961</v>
      </c>
      <c r="W15">
        <v>0.37818353604521221</v>
      </c>
      <c r="X15">
        <v>17</v>
      </c>
    </row>
    <row r="16" spans="2:24" x14ac:dyDescent="0.35">
      <c r="B16" s="1" t="s">
        <v>7</v>
      </c>
      <c r="C16">
        <v>-8.6690196639595263E-2</v>
      </c>
      <c r="D16">
        <v>0.25550533491212979</v>
      </c>
      <c r="E16">
        <v>0.1297624069557034</v>
      </c>
      <c r="F16">
        <v>0.36022549459429348</v>
      </c>
      <c r="G16">
        <v>0.36039931716075008</v>
      </c>
      <c r="H16">
        <v>17</v>
      </c>
      <c r="J16" s="1" t="s">
        <v>7</v>
      </c>
      <c r="K16">
        <v>-8.6690196639595263E-2</v>
      </c>
      <c r="L16">
        <v>0.25550533491212979</v>
      </c>
      <c r="M16">
        <v>0.1297624069557034</v>
      </c>
      <c r="N16">
        <v>0.36022549459429348</v>
      </c>
      <c r="O16">
        <v>0.36039931716075008</v>
      </c>
      <c r="P16">
        <v>17</v>
      </c>
      <c r="R16" s="1" t="s">
        <v>7</v>
      </c>
      <c r="S16">
        <v>-8.6690196639595263E-2</v>
      </c>
      <c r="T16">
        <v>0.25550533491212979</v>
      </c>
      <c r="U16">
        <v>0.1297624069557034</v>
      </c>
      <c r="V16">
        <v>0.36022549459429348</v>
      </c>
      <c r="W16">
        <v>0.36039931716075008</v>
      </c>
      <c r="X16">
        <v>17</v>
      </c>
    </row>
    <row r="17" spans="2:24" x14ac:dyDescent="0.35">
      <c r="B17" s="1" t="s">
        <v>8</v>
      </c>
      <c r="C17">
        <v>0.14482117150252971</v>
      </c>
      <c r="D17">
        <v>0.27996240536921901</v>
      </c>
      <c r="E17">
        <v>0.16541189825564431</v>
      </c>
      <c r="F17">
        <v>0.40670861591026602</v>
      </c>
      <c r="G17">
        <v>0.39174755512835902</v>
      </c>
      <c r="H17">
        <v>17</v>
      </c>
      <c r="J17" s="1" t="s">
        <v>8</v>
      </c>
      <c r="K17">
        <v>0.14482117150252971</v>
      </c>
      <c r="L17">
        <v>0.27996240536921901</v>
      </c>
      <c r="M17">
        <v>0.16541189825564431</v>
      </c>
      <c r="N17">
        <v>0.40670861591026602</v>
      </c>
      <c r="O17">
        <v>0.39174755512835902</v>
      </c>
      <c r="P17">
        <v>17</v>
      </c>
      <c r="R17" s="1" t="s">
        <v>8</v>
      </c>
      <c r="S17">
        <v>0.14482117150252971</v>
      </c>
      <c r="T17">
        <v>0.27996240536921901</v>
      </c>
      <c r="U17">
        <v>0.16541189825564431</v>
      </c>
      <c r="V17">
        <v>0.40670861591026602</v>
      </c>
      <c r="W17">
        <v>0.39174755512835902</v>
      </c>
      <c r="X17">
        <v>17</v>
      </c>
    </row>
    <row r="18" spans="2:24" x14ac:dyDescent="0.35">
      <c r="B18" s="1" t="s">
        <v>9</v>
      </c>
      <c r="C18">
        <v>3.6022689779824917E-2</v>
      </c>
      <c r="D18">
        <v>0.32255292152665532</v>
      </c>
      <c r="E18">
        <v>0.18699854158249199</v>
      </c>
      <c r="F18">
        <v>0.43243327992014208</v>
      </c>
      <c r="G18">
        <v>0.44419276684367393</v>
      </c>
      <c r="H18">
        <v>17</v>
      </c>
      <c r="J18" s="1" t="s">
        <v>9</v>
      </c>
      <c r="K18">
        <v>3.6022689779824917E-2</v>
      </c>
      <c r="L18">
        <v>0.32255292152665532</v>
      </c>
      <c r="M18">
        <v>0.18699854158249199</v>
      </c>
      <c r="N18">
        <v>0.43243327992014208</v>
      </c>
      <c r="O18">
        <v>0.44419276684367393</v>
      </c>
      <c r="P18">
        <v>17</v>
      </c>
      <c r="R18" s="1" t="s">
        <v>9</v>
      </c>
      <c r="S18">
        <v>3.6022689779824917E-2</v>
      </c>
      <c r="T18">
        <v>0.32255292152665532</v>
      </c>
      <c r="U18">
        <v>0.18699854158249199</v>
      </c>
      <c r="V18">
        <v>0.43243327992014208</v>
      </c>
      <c r="W18">
        <v>0.44419276684367393</v>
      </c>
      <c r="X18">
        <v>17</v>
      </c>
    </row>
    <row r="19" spans="2:24" x14ac:dyDescent="0.35">
      <c r="B19" s="1" t="s">
        <v>10</v>
      </c>
      <c r="C19">
        <v>0.17483760604937079</v>
      </c>
      <c r="D19">
        <v>0.26629654495107358</v>
      </c>
      <c r="E19">
        <v>0.1333917287326849</v>
      </c>
      <c r="F19">
        <v>0.36522832411066491</v>
      </c>
      <c r="G19">
        <v>0.33052989503044272</v>
      </c>
      <c r="H19">
        <v>17</v>
      </c>
      <c r="J19" s="1" t="s">
        <v>10</v>
      </c>
      <c r="K19">
        <v>0.17483760604937079</v>
      </c>
      <c r="L19">
        <v>0.26629654495107358</v>
      </c>
      <c r="M19">
        <v>0.1333917287326849</v>
      </c>
      <c r="N19">
        <v>0.36522832411066491</v>
      </c>
      <c r="O19">
        <v>0.33052989503044272</v>
      </c>
      <c r="P19">
        <v>17</v>
      </c>
      <c r="R19" s="1" t="s">
        <v>10</v>
      </c>
      <c r="S19">
        <v>0.17483760604937079</v>
      </c>
      <c r="T19">
        <v>0.26629654495107358</v>
      </c>
      <c r="U19">
        <v>0.1333917287326849</v>
      </c>
      <c r="V19">
        <v>0.36522832411066491</v>
      </c>
      <c r="W19">
        <v>0.33052989503044272</v>
      </c>
      <c r="X19">
        <v>17</v>
      </c>
    </row>
    <row r="20" spans="2:24" x14ac:dyDescent="0.35">
      <c r="B20" s="1" t="s">
        <v>11</v>
      </c>
      <c r="C20">
        <v>0.2351928995374698</v>
      </c>
      <c r="D20">
        <v>0.34568044016585381</v>
      </c>
      <c r="E20">
        <v>0.14801055244215541</v>
      </c>
      <c r="F20">
        <v>0.38472139587259158</v>
      </c>
      <c r="G20">
        <v>0.32292678582842438</v>
      </c>
      <c r="H20">
        <v>9</v>
      </c>
      <c r="J20" s="1" t="s">
        <v>11</v>
      </c>
      <c r="K20">
        <v>0.2351928995374698</v>
      </c>
      <c r="L20">
        <v>0.34568044016585381</v>
      </c>
      <c r="M20">
        <v>0.14801055244215541</v>
      </c>
      <c r="N20">
        <v>0.38472139587259158</v>
      </c>
      <c r="O20">
        <v>0.32292678582842438</v>
      </c>
      <c r="P20">
        <v>9</v>
      </c>
      <c r="R20" s="1" t="s">
        <v>11</v>
      </c>
      <c r="S20">
        <v>0.2351928995374698</v>
      </c>
      <c r="T20">
        <v>0.34568044016585381</v>
      </c>
      <c r="U20">
        <v>0.14801055244215541</v>
      </c>
      <c r="V20">
        <v>0.38472139587259158</v>
      </c>
      <c r="W20">
        <v>0.32292678582842438</v>
      </c>
      <c r="X20">
        <v>9</v>
      </c>
    </row>
    <row r="21" spans="2:24" x14ac:dyDescent="0.35">
      <c r="B21" s="1" t="s">
        <v>12</v>
      </c>
      <c r="C21">
        <v>0.29298444612453761</v>
      </c>
      <c r="D21">
        <v>0.3715595081529135</v>
      </c>
      <c r="E21">
        <v>0.25046461702524409</v>
      </c>
      <c r="F21">
        <v>0.50046440135662407</v>
      </c>
      <c r="G21">
        <v>0.43035197544990411</v>
      </c>
      <c r="H21">
        <v>9</v>
      </c>
      <c r="J21" s="1" t="s">
        <v>12</v>
      </c>
      <c r="K21">
        <v>0.29298444612453761</v>
      </c>
      <c r="L21">
        <v>0.3715595081529135</v>
      </c>
      <c r="M21">
        <v>0.25046461702524409</v>
      </c>
      <c r="N21">
        <v>0.50046440135662407</v>
      </c>
      <c r="O21">
        <v>0.43035197544990411</v>
      </c>
      <c r="P21">
        <v>9</v>
      </c>
      <c r="R21" s="1" t="s">
        <v>12</v>
      </c>
      <c r="S21">
        <v>0.29298444612453761</v>
      </c>
      <c r="T21">
        <v>0.3715595081529135</v>
      </c>
      <c r="U21">
        <v>0.25046461702524409</v>
      </c>
      <c r="V21">
        <v>0.50046440135662407</v>
      </c>
      <c r="W21">
        <v>0.43035197544990411</v>
      </c>
      <c r="X21">
        <v>9</v>
      </c>
    </row>
    <row r="22" spans="2:24" x14ac:dyDescent="0.35">
      <c r="B22" s="1"/>
      <c r="C22">
        <v>0.47200447928329942</v>
      </c>
      <c r="D22">
        <v>0.47200447928329942</v>
      </c>
      <c r="E22">
        <v>0.22278822846349861</v>
      </c>
      <c r="F22">
        <v>0.47200447928329942</v>
      </c>
      <c r="H22">
        <v>1</v>
      </c>
      <c r="J22" s="1"/>
      <c r="K22">
        <v>0.47200447928329942</v>
      </c>
      <c r="L22">
        <v>0.47200447928329942</v>
      </c>
      <c r="M22">
        <v>0.22278822846349861</v>
      </c>
      <c r="N22">
        <v>0.47200447928329942</v>
      </c>
      <c r="P22">
        <v>1</v>
      </c>
      <c r="R22" s="1"/>
      <c r="S22">
        <v>0.47200447928329942</v>
      </c>
      <c r="T22">
        <v>0.47200447928329942</v>
      </c>
      <c r="U22">
        <v>0.22278822846349861</v>
      </c>
      <c r="V22">
        <v>0.47200447928329942</v>
      </c>
      <c r="X22">
        <v>1</v>
      </c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-3.7355418710473931E-2</v>
      </c>
      <c r="D31">
        <f t="shared" ref="D31:G37" si="1">D3/D15</f>
        <v>1.5593023690359893</v>
      </c>
      <c r="E31">
        <f t="shared" si="1"/>
        <v>2.9361897621023316</v>
      </c>
      <c r="F31">
        <f>F3/F15</f>
        <v>1.7135313717881946</v>
      </c>
      <c r="G31">
        <f t="shared" si="1"/>
        <v>1.7203135625190977</v>
      </c>
      <c r="H31">
        <f t="shared" ref="H31:H37" si="2">H3-H15</f>
        <v>0</v>
      </c>
      <c r="J31" s="1" t="s">
        <v>6</v>
      </c>
      <c r="K31">
        <f t="shared" ref="K31:K37" si="3">K3-K15</f>
        <v>5.4540363495548881E-2</v>
      </c>
      <c r="L31">
        <f t="shared" ref="L31:O37" si="4">L3/L15</f>
        <v>2.0027293946739881</v>
      </c>
      <c r="M31">
        <f t="shared" si="4"/>
        <v>4.0742038784738206</v>
      </c>
      <c r="N31">
        <f t="shared" si="4"/>
        <v>2.0184657238788626</v>
      </c>
      <c r="O31">
        <f t="shared" si="4"/>
        <v>2.0124823370951606</v>
      </c>
      <c r="P31">
        <f t="shared" ref="P31:P37" si="5">P3-P15</f>
        <v>0</v>
      </c>
      <c r="R31" s="1" t="s">
        <v>6</v>
      </c>
      <c r="S31">
        <f t="shared" ref="S31:S37" si="6">S3-S15</f>
        <v>-0.11002175559992028</v>
      </c>
      <c r="T31">
        <f t="shared" ref="T31:W37" si="7">T3/T15</f>
        <v>1.8165628905680598</v>
      </c>
      <c r="U31">
        <f t="shared" si="7"/>
        <v>4.4296353495097192</v>
      </c>
      <c r="V31">
        <f t="shared" si="7"/>
        <v>2.1046698908640566</v>
      </c>
      <c r="W31">
        <f t="shared" si="7"/>
        <v>2.1025427463769226</v>
      </c>
      <c r="X31">
        <f t="shared" ref="X31:X37" si="8">X3-X15</f>
        <v>0</v>
      </c>
    </row>
    <row r="32" spans="2:24" x14ac:dyDescent="0.35">
      <c r="B32" s="1" t="s">
        <v>7</v>
      </c>
      <c r="C32">
        <f t="shared" si="0"/>
        <v>-4.998732627934413E-2</v>
      </c>
      <c r="D32">
        <f t="shared" si="1"/>
        <v>1.0582499906044942</v>
      </c>
      <c r="E32">
        <f t="shared" si="1"/>
        <v>1.0750241627975041</v>
      </c>
      <c r="F32">
        <f t="shared" si="1"/>
        <v>1.0368337199365696</v>
      </c>
      <c r="G32">
        <f t="shared" si="1"/>
        <v>0.99413300720977349</v>
      </c>
      <c r="H32">
        <f t="shared" si="2"/>
        <v>0</v>
      </c>
      <c r="J32" s="1" t="s">
        <v>7</v>
      </c>
      <c r="K32">
        <f t="shared" si="3"/>
        <v>8.7834481142604975E-2</v>
      </c>
      <c r="L32">
        <f t="shared" si="4"/>
        <v>1.5385652907409517</v>
      </c>
      <c r="M32">
        <f t="shared" si="4"/>
        <v>1.730831081061263</v>
      </c>
      <c r="N32">
        <f t="shared" si="4"/>
        <v>1.3156105354782106</v>
      </c>
      <c r="O32">
        <f t="shared" si="4"/>
        <v>1.3554422942846249</v>
      </c>
      <c r="P32">
        <f t="shared" si="5"/>
        <v>0</v>
      </c>
      <c r="R32" s="1" t="s">
        <v>7</v>
      </c>
      <c r="S32">
        <f t="shared" si="6"/>
        <v>-7.6727637952864136E-2</v>
      </c>
      <c r="T32">
        <f t="shared" si="7"/>
        <v>1.5738101550395804</v>
      </c>
      <c r="U32">
        <f t="shared" si="7"/>
        <v>2.4831319069963214</v>
      </c>
      <c r="V32">
        <f t="shared" si="7"/>
        <v>1.5757956425235864</v>
      </c>
      <c r="W32">
        <f t="shared" si="7"/>
        <v>1.5547763005071746</v>
      </c>
      <c r="X32">
        <f t="shared" si="8"/>
        <v>0</v>
      </c>
    </row>
    <row r="33" spans="2:24" x14ac:dyDescent="0.35">
      <c r="B33" s="1" t="s">
        <v>8</v>
      </c>
      <c r="C33">
        <f t="shared" si="0"/>
        <v>-8.4942725060210333E-2</v>
      </c>
      <c r="D33">
        <f t="shared" si="1"/>
        <v>1.0135741692443707</v>
      </c>
      <c r="E33">
        <f t="shared" si="1"/>
        <v>0.82437195509611894</v>
      </c>
      <c r="F33">
        <f t="shared" si="1"/>
        <v>0.90794931306550286</v>
      </c>
      <c r="G33">
        <f t="shared" si="1"/>
        <v>0.95877599061675056</v>
      </c>
      <c r="H33">
        <f t="shared" si="2"/>
        <v>0</v>
      </c>
      <c r="J33" s="1" t="s">
        <v>8</v>
      </c>
      <c r="K33">
        <f t="shared" si="3"/>
        <v>7.3481539966135795E-2</v>
      </c>
      <c r="L33">
        <f t="shared" si="4"/>
        <v>1.5804936967269729</v>
      </c>
      <c r="M33">
        <f t="shared" si="4"/>
        <v>2.2167856686370087</v>
      </c>
      <c r="N33">
        <f t="shared" si="4"/>
        <v>1.4888873928665689</v>
      </c>
      <c r="O33">
        <f t="shared" si="4"/>
        <v>1.4861808381275421</v>
      </c>
      <c r="P33">
        <f t="shared" si="5"/>
        <v>0</v>
      </c>
      <c r="R33" s="1" t="s">
        <v>8</v>
      </c>
      <c r="S33">
        <f t="shared" si="6"/>
        <v>-9.1080579129333428E-2</v>
      </c>
      <c r="T33">
        <f t="shared" si="7"/>
        <v>1.1949390509136262</v>
      </c>
      <c r="U33">
        <f t="shared" si="7"/>
        <v>1.3120792794392848</v>
      </c>
      <c r="V33">
        <f t="shared" si="7"/>
        <v>1.1454602915157228</v>
      </c>
      <c r="W33">
        <f t="shared" si="7"/>
        <v>1.2176223847982244</v>
      </c>
      <c r="X33">
        <f t="shared" si="8"/>
        <v>0</v>
      </c>
    </row>
    <row r="34" spans="2:24" x14ac:dyDescent="0.35">
      <c r="B34" s="1" t="s">
        <v>9</v>
      </c>
      <c r="C34">
        <f t="shared" si="0"/>
        <v>-0.1241359998093837</v>
      </c>
      <c r="D34">
        <f t="shared" si="1"/>
        <v>0.94471933873096814</v>
      </c>
      <c r="E34">
        <f t="shared" si="1"/>
        <v>0.98695384274856235</v>
      </c>
      <c r="F34">
        <f t="shared" si="1"/>
        <v>0.99345550617456568</v>
      </c>
      <c r="G34">
        <f t="shared" si="1"/>
        <v>0.97572614913714895</v>
      </c>
      <c r="H34">
        <f t="shared" si="2"/>
        <v>0</v>
      </c>
      <c r="J34" s="1" t="s">
        <v>9</v>
      </c>
      <c r="K34">
        <f t="shared" si="3"/>
        <v>4.3422716436724261E-2</v>
      </c>
      <c r="L34">
        <f t="shared" si="4"/>
        <v>1.5070338102746914</v>
      </c>
      <c r="M34">
        <f t="shared" si="4"/>
        <v>1.9329368851450583</v>
      </c>
      <c r="N34">
        <f t="shared" si="4"/>
        <v>1.3903010052305431</v>
      </c>
      <c r="O34">
        <f t="shared" si="4"/>
        <v>1.3829157434371</v>
      </c>
      <c r="P34">
        <f t="shared" si="5"/>
        <v>0</v>
      </c>
      <c r="R34" s="1" t="s">
        <v>9</v>
      </c>
      <c r="S34">
        <f t="shared" si="6"/>
        <v>-0.1211394026587449</v>
      </c>
      <c r="T34">
        <f t="shared" si="7"/>
        <v>1.454419261041348</v>
      </c>
      <c r="U34">
        <f t="shared" si="7"/>
        <v>2.0492010899983395</v>
      </c>
      <c r="V34">
        <f t="shared" si="7"/>
        <v>1.4315030876663661</v>
      </c>
      <c r="W34">
        <f t="shared" si="7"/>
        <v>1.4228516638093676</v>
      </c>
      <c r="X34">
        <f t="shared" si="8"/>
        <v>0</v>
      </c>
    </row>
    <row r="35" spans="2:24" x14ac:dyDescent="0.35">
      <c r="B35" s="1" t="s">
        <v>10</v>
      </c>
      <c r="C35">
        <f t="shared" si="0"/>
        <v>-0.1443797176595113</v>
      </c>
      <c r="D35">
        <f t="shared" si="1"/>
        <v>0.92278006803039869</v>
      </c>
      <c r="E35">
        <f t="shared" si="1"/>
        <v>0.84691321114185714</v>
      </c>
      <c r="F35">
        <f t="shared" si="1"/>
        <v>0.92027887683128817</v>
      </c>
      <c r="G35">
        <f t="shared" si="1"/>
        <v>1.0438716997362998</v>
      </c>
      <c r="H35">
        <f t="shared" si="2"/>
        <v>0</v>
      </c>
      <c r="J35" s="1" t="s">
        <v>10</v>
      </c>
      <c r="K35">
        <f t="shared" si="3"/>
        <v>2.7246245848488421E-2</v>
      </c>
      <c r="L35">
        <f t="shared" si="4"/>
        <v>1.4686794869824134</v>
      </c>
      <c r="M35">
        <f t="shared" si="4"/>
        <v>2.1365587444255185</v>
      </c>
      <c r="N35">
        <f t="shared" si="4"/>
        <v>1.4616972136614061</v>
      </c>
      <c r="O35">
        <f t="shared" si="4"/>
        <v>1.5409629972532366</v>
      </c>
      <c r="P35">
        <f t="shared" si="5"/>
        <v>0</v>
      </c>
      <c r="R35" s="1" t="s">
        <v>10</v>
      </c>
      <c r="S35">
        <f t="shared" si="6"/>
        <v>-0.13731587324698083</v>
      </c>
      <c r="T35">
        <f t="shared" si="7"/>
        <v>1.0638726495693498</v>
      </c>
      <c r="U35">
        <f t="shared" si="7"/>
        <v>1.3685259938198744</v>
      </c>
      <c r="V35">
        <f t="shared" si="7"/>
        <v>1.169840157380432</v>
      </c>
      <c r="W35">
        <f t="shared" si="7"/>
        <v>1.3272829144751304</v>
      </c>
      <c r="X35">
        <f t="shared" si="8"/>
        <v>0</v>
      </c>
    </row>
    <row r="36" spans="2:24" x14ac:dyDescent="0.35">
      <c r="B36" s="1" t="s">
        <v>11</v>
      </c>
      <c r="C36">
        <f t="shared" si="0"/>
        <v>-0.15958966102837971</v>
      </c>
      <c r="D36">
        <f t="shared" si="1"/>
        <v>0.73719762562772395</v>
      </c>
      <c r="E36">
        <f t="shared" si="1"/>
        <v>0.71118489296240139</v>
      </c>
      <c r="F36">
        <f t="shared" si="1"/>
        <v>0.84331778883313124</v>
      </c>
      <c r="G36">
        <f t="shared" si="1"/>
        <v>1.0363019644309683</v>
      </c>
      <c r="H36">
        <f t="shared" si="2"/>
        <v>0</v>
      </c>
      <c r="J36" s="1" t="s">
        <v>11</v>
      </c>
      <c r="K36">
        <f t="shared" si="3"/>
        <v>0.10026388969597627</v>
      </c>
      <c r="L36">
        <f t="shared" si="4"/>
        <v>1.2940910304503597</v>
      </c>
      <c r="M36">
        <f t="shared" si="4"/>
        <v>2.3638298448501325</v>
      </c>
      <c r="N36">
        <f t="shared" si="4"/>
        <v>1.5374751525960131</v>
      </c>
      <c r="O36">
        <f t="shared" si="4"/>
        <v>1.6001405137097378</v>
      </c>
      <c r="P36">
        <f t="shared" si="5"/>
        <v>0</v>
      </c>
      <c r="R36" s="1" t="s">
        <v>11</v>
      </c>
      <c r="S36">
        <f t="shared" si="6"/>
        <v>-0.18459595864347725</v>
      </c>
      <c r="T36">
        <f t="shared" si="7"/>
        <v>1.0862148611011355</v>
      </c>
      <c r="U36">
        <f t="shared" si="7"/>
        <v>1.4655645494053309</v>
      </c>
      <c r="V36">
        <f t="shared" si="7"/>
        <v>1.2106050344374633</v>
      </c>
      <c r="W36">
        <f t="shared" si="7"/>
        <v>1.5206981590788358</v>
      </c>
      <c r="X36">
        <f t="shared" si="8"/>
        <v>0</v>
      </c>
    </row>
    <row r="37" spans="2:24" x14ac:dyDescent="0.35">
      <c r="B37" s="1" t="s">
        <v>12</v>
      </c>
      <c r="C37">
        <f t="shared" si="0"/>
        <v>-0.166296976155103</v>
      </c>
      <c r="D37">
        <f t="shared" si="1"/>
        <v>0.8968823036093857</v>
      </c>
      <c r="E37">
        <f t="shared" si="1"/>
        <v>0.69805781915728182</v>
      </c>
      <c r="F37">
        <f t="shared" si="1"/>
        <v>0.83549854527538336</v>
      </c>
      <c r="G37">
        <f t="shared" si="1"/>
        <v>0.98211594486325482</v>
      </c>
      <c r="H37">
        <f t="shared" si="2"/>
        <v>0</v>
      </c>
      <c r="J37" s="9" t="s">
        <v>12</v>
      </c>
      <c r="K37">
        <f t="shared" si="3"/>
        <v>9.4708334140421069E-2</v>
      </c>
      <c r="L37">
        <f t="shared" si="4"/>
        <v>1.5165224312154795</v>
      </c>
      <c r="M37">
        <f t="shared" si="4"/>
        <v>2.6008096212718255</v>
      </c>
      <c r="N37">
        <f t="shared" si="4"/>
        <v>1.6127025830176576</v>
      </c>
      <c r="O37">
        <f t="shared" si="4"/>
        <v>1.7446843648542711</v>
      </c>
      <c r="P37">
        <f t="shared" si="5"/>
        <v>0</v>
      </c>
      <c r="R37" s="9" t="s">
        <v>12</v>
      </c>
      <c r="S37">
        <f t="shared" si="6"/>
        <v>-0.19015151419903251</v>
      </c>
      <c r="T37">
        <f t="shared" si="7"/>
        <v>0.87640847395197874</v>
      </c>
      <c r="U37">
        <f t="shared" si="7"/>
        <v>0.57904112399329344</v>
      </c>
      <c r="V37">
        <f t="shared" si="7"/>
        <v>0.76094751723971943</v>
      </c>
      <c r="W37">
        <f t="shared" si="7"/>
        <v>0.90373365724054366</v>
      </c>
      <c r="X37">
        <f t="shared" si="8"/>
        <v>0</v>
      </c>
    </row>
  </sheetData>
  <conditionalFormatting sqref="C31:G37 S25:W28">
    <cfRule type="cellIs" dxfId="187" priority="12" operator="greaterThan">
      <formula>0</formula>
    </cfRule>
  </conditionalFormatting>
  <conditionalFormatting sqref="D31:G37">
    <cfRule type="cellIs" dxfId="186" priority="9" operator="lessThan">
      <formula>1</formula>
    </cfRule>
    <cfRule type="cellIs" dxfId="185" priority="10" operator="greaterThan">
      <formula>1</formula>
    </cfRule>
  </conditionalFormatting>
  <conditionalFormatting sqref="K31:O37">
    <cfRule type="cellIs" dxfId="184" priority="7" operator="lessThan">
      <formula>0</formula>
    </cfRule>
    <cfRule type="cellIs" dxfId="183" priority="8" operator="greaterThan">
      <formula>0</formula>
    </cfRule>
  </conditionalFormatting>
  <conditionalFormatting sqref="L31:O37">
    <cfRule type="cellIs" dxfId="182" priority="5" operator="lessThan">
      <formula>1</formula>
    </cfRule>
    <cfRule type="cellIs" dxfId="181" priority="6" operator="greaterThan">
      <formula>1</formula>
    </cfRule>
  </conditionalFormatting>
  <conditionalFormatting sqref="S25:W28 C31:G37">
    <cfRule type="cellIs" dxfId="180" priority="11" operator="lessThan">
      <formula>0</formula>
    </cfRule>
  </conditionalFormatting>
  <conditionalFormatting sqref="S31:W37">
    <cfRule type="cellIs" dxfId="179" priority="3" operator="lessThan">
      <formula>0</formula>
    </cfRule>
    <cfRule type="cellIs" dxfId="178" priority="4" operator="greaterThan">
      <formula>0</formula>
    </cfRule>
  </conditionalFormatting>
  <conditionalFormatting sqref="T31:W37">
    <cfRule type="cellIs" dxfId="177" priority="1" operator="lessThan">
      <formula>1</formula>
    </cfRule>
    <cfRule type="cellIs" dxfId="176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7AF9-130B-4CD6-9658-A70BBFD2E5C4}">
  <dimension ref="B2:X37"/>
  <sheetViews>
    <sheetView zoomScale="69" workbookViewId="0">
      <selection activeCell="W31" sqref="W31:W3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0.105863025</v>
      </c>
      <c r="D3">
        <v>0.68720801600000003</v>
      </c>
      <c r="E3">
        <v>1.2308544830000001</v>
      </c>
      <c r="F3">
        <v>1.109438814</v>
      </c>
      <c r="G3">
        <v>1.1158211440000001</v>
      </c>
      <c r="H3">
        <v>49</v>
      </c>
      <c r="J3" s="1" t="s">
        <v>6</v>
      </c>
      <c r="K3">
        <v>0.259491525</v>
      </c>
      <c r="L3">
        <v>0.86864055299999998</v>
      </c>
      <c r="M3">
        <v>2.4214899829999998</v>
      </c>
      <c r="N3">
        <v>1.556113743</v>
      </c>
      <c r="O3">
        <v>1.55022547</v>
      </c>
      <c r="P3">
        <v>49</v>
      </c>
      <c r="R3" s="1" t="s">
        <v>6</v>
      </c>
      <c r="S3">
        <v>0.14661175800000001</v>
      </c>
      <c r="T3">
        <v>0.60990846499999996</v>
      </c>
      <c r="U3">
        <v>0.83339764400000005</v>
      </c>
      <c r="V3">
        <v>0.912906153</v>
      </c>
      <c r="W3">
        <v>0.91039402199999997</v>
      </c>
      <c r="X3">
        <v>49</v>
      </c>
    </row>
    <row r="4" spans="2:24" x14ac:dyDescent="0.35">
      <c r="B4" s="1" t="s">
        <v>7</v>
      </c>
      <c r="C4">
        <v>0.19599983300000001</v>
      </c>
      <c r="D4">
        <v>0.68545209399999996</v>
      </c>
      <c r="E4">
        <v>1.5428338610000001</v>
      </c>
      <c r="F4">
        <v>1.2421086349999999</v>
      </c>
      <c r="G4">
        <v>1.239807511</v>
      </c>
      <c r="H4">
        <v>47</v>
      </c>
      <c r="J4" s="1" t="s">
        <v>7</v>
      </c>
      <c r="K4">
        <v>4.0933931999999999E-2</v>
      </c>
      <c r="L4">
        <v>0.75422765599999997</v>
      </c>
      <c r="M4">
        <v>1.4855806069999999</v>
      </c>
      <c r="N4">
        <v>1.2188439630000001</v>
      </c>
      <c r="O4">
        <v>1.231617102</v>
      </c>
      <c r="P4">
        <v>46</v>
      </c>
      <c r="R4" s="1" t="s">
        <v>7</v>
      </c>
      <c r="S4">
        <v>9.8762616999999997E-2</v>
      </c>
      <c r="T4">
        <v>0.67027788499999996</v>
      </c>
      <c r="U4">
        <v>1.0608981879999999</v>
      </c>
      <c r="V4">
        <v>1.02999912</v>
      </c>
      <c r="W4">
        <v>1.0361027469999999</v>
      </c>
      <c r="X4">
        <v>48</v>
      </c>
    </row>
    <row r="5" spans="2:24" x14ac:dyDescent="0.35">
      <c r="B5" s="1" t="s">
        <v>8</v>
      </c>
      <c r="C5">
        <v>-1.9617300000000001E-3</v>
      </c>
      <c r="D5">
        <v>0.64068115000000003</v>
      </c>
      <c r="E5">
        <v>1.1223923609999999</v>
      </c>
      <c r="F5">
        <v>1.059430206</v>
      </c>
      <c r="G5">
        <v>1.0708820020000001</v>
      </c>
      <c r="H5">
        <v>47</v>
      </c>
      <c r="J5" s="1" t="s">
        <v>8</v>
      </c>
      <c r="K5">
        <v>6.1106648E-2</v>
      </c>
      <c r="L5">
        <v>0.76370059800000001</v>
      </c>
      <c r="M5">
        <v>1.337090127</v>
      </c>
      <c r="N5">
        <v>1.1563261330000001</v>
      </c>
      <c r="O5">
        <v>1.167758388</v>
      </c>
      <c r="P5">
        <v>45</v>
      </c>
      <c r="R5" s="1" t="s">
        <v>8</v>
      </c>
      <c r="S5">
        <v>0.12958957800000001</v>
      </c>
      <c r="T5">
        <v>0.58321716499999998</v>
      </c>
      <c r="U5">
        <v>0.81562671399999997</v>
      </c>
      <c r="V5">
        <v>0.90312054200000003</v>
      </c>
      <c r="W5">
        <v>0.90343743300000001</v>
      </c>
      <c r="X5">
        <v>47</v>
      </c>
    </row>
    <row r="6" spans="2:24" x14ac:dyDescent="0.35">
      <c r="B6" s="1" t="s">
        <v>9</v>
      </c>
      <c r="C6">
        <v>8.9532970000000003E-2</v>
      </c>
      <c r="D6">
        <v>0.69819201200000003</v>
      </c>
      <c r="E6">
        <v>1.6768039729999999</v>
      </c>
      <c r="F6">
        <v>1.294914659</v>
      </c>
      <c r="G6">
        <v>1.306090347</v>
      </c>
      <c r="H6">
        <v>46</v>
      </c>
      <c r="J6" s="1" t="s">
        <v>9</v>
      </c>
      <c r="K6">
        <v>0.296321051</v>
      </c>
      <c r="L6">
        <v>0.87756999300000005</v>
      </c>
      <c r="M6">
        <v>2.591504365</v>
      </c>
      <c r="N6">
        <v>1.6098150099999999</v>
      </c>
      <c r="O6">
        <v>1.6001876239999999</v>
      </c>
      <c r="P6">
        <v>45</v>
      </c>
      <c r="R6" s="1" t="s">
        <v>9</v>
      </c>
      <c r="S6">
        <v>0.13562935400000001</v>
      </c>
      <c r="T6">
        <v>0.68715583300000005</v>
      </c>
      <c r="U6">
        <v>1.205820968</v>
      </c>
      <c r="V6">
        <v>1.098098797</v>
      </c>
      <c r="W6">
        <v>1.101731765</v>
      </c>
      <c r="X6">
        <v>46</v>
      </c>
    </row>
    <row r="7" spans="2:24" x14ac:dyDescent="0.35">
      <c r="B7" s="1" t="s">
        <v>10</v>
      </c>
      <c r="C7">
        <v>4.3293329999999998E-2</v>
      </c>
      <c r="D7">
        <v>0.66453956400000003</v>
      </c>
      <c r="E7">
        <v>1.7160420119999999</v>
      </c>
      <c r="F7">
        <v>1.309977867</v>
      </c>
      <c r="G7">
        <v>1.324056667</v>
      </c>
      <c r="H7">
        <v>45</v>
      </c>
      <c r="J7" s="1" t="s">
        <v>10</v>
      </c>
      <c r="K7">
        <v>7.6747850000000006E-2</v>
      </c>
      <c r="L7">
        <v>0.82665724600000001</v>
      </c>
      <c r="M7">
        <v>1.9913388750000001</v>
      </c>
      <c r="N7">
        <v>1.4111480700000001</v>
      </c>
      <c r="O7">
        <v>1.4257353290000001</v>
      </c>
      <c r="P7">
        <v>43</v>
      </c>
      <c r="R7" s="1" t="s">
        <v>10</v>
      </c>
      <c r="S7">
        <v>0.113513195</v>
      </c>
      <c r="T7">
        <v>0.6256659</v>
      </c>
      <c r="U7">
        <v>0.96273260400000005</v>
      </c>
      <c r="V7">
        <v>0.98118938200000005</v>
      </c>
      <c r="W7">
        <v>0.98561392000000003</v>
      </c>
      <c r="X7">
        <v>45</v>
      </c>
    </row>
    <row r="8" spans="2:24" x14ac:dyDescent="0.35">
      <c r="B8" s="1" t="s">
        <v>11</v>
      </c>
      <c r="C8">
        <v>4.1901383E-2</v>
      </c>
      <c r="D8">
        <v>0.67619214599999999</v>
      </c>
      <c r="E8">
        <v>1.22836268</v>
      </c>
      <c r="F8">
        <v>1.1083152439999999</v>
      </c>
      <c r="G8">
        <v>1.1246948130000001</v>
      </c>
      <c r="H8">
        <v>33</v>
      </c>
      <c r="J8" s="1" t="s">
        <v>11</v>
      </c>
      <c r="K8">
        <v>-1.6209602E-2</v>
      </c>
      <c r="L8">
        <v>0.94329000600000001</v>
      </c>
      <c r="M8">
        <v>2.0796599759999999</v>
      </c>
      <c r="N8">
        <v>1.442102623</v>
      </c>
      <c r="O8">
        <v>1.4658480359999999</v>
      </c>
      <c r="P8">
        <v>31</v>
      </c>
      <c r="R8" s="1" t="s">
        <v>11</v>
      </c>
      <c r="S8">
        <v>9.7440587999999995E-2</v>
      </c>
      <c r="T8">
        <v>0.57904721199999998</v>
      </c>
      <c r="U8">
        <v>0.71620833800000006</v>
      </c>
      <c r="V8">
        <v>0.84629093</v>
      </c>
      <c r="W8">
        <v>0.85369694399999996</v>
      </c>
      <c r="X8">
        <v>33</v>
      </c>
    </row>
    <row r="9" spans="2:24" x14ac:dyDescent="0.35">
      <c r="B9" s="1" t="s">
        <v>12</v>
      </c>
      <c r="C9">
        <v>8.5245142999999995E-2</v>
      </c>
      <c r="D9">
        <v>0.72155736100000001</v>
      </c>
      <c r="E9">
        <v>1.2286317330000001</v>
      </c>
      <c r="F9">
        <v>1.108436617</v>
      </c>
      <c r="G9">
        <v>1.1228374189999999</v>
      </c>
      <c r="H9">
        <v>32</v>
      </c>
      <c r="J9" s="1" t="s">
        <v>12</v>
      </c>
      <c r="K9">
        <v>8.3357087999999996E-2</v>
      </c>
      <c r="L9">
        <v>0.93917160399999999</v>
      </c>
      <c r="M9">
        <v>1.8011671469999999</v>
      </c>
      <c r="N9">
        <v>1.342075686</v>
      </c>
      <c r="O9">
        <v>1.3623833359999999</v>
      </c>
      <c r="P9">
        <v>30</v>
      </c>
      <c r="R9" s="1" t="s">
        <v>12</v>
      </c>
      <c r="S9">
        <v>0.145983422</v>
      </c>
      <c r="T9">
        <v>0.58969266799999998</v>
      </c>
      <c r="U9">
        <v>0.734823593</v>
      </c>
      <c r="V9">
        <v>0.85721852099999996</v>
      </c>
      <c r="W9">
        <v>0.85821265599999996</v>
      </c>
      <c r="X9">
        <v>32</v>
      </c>
    </row>
    <row r="10" spans="2:24" x14ac:dyDescent="0.35">
      <c r="B10" s="1"/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5.606614581442193E-2</v>
      </c>
      <c r="D15">
        <v>0.31221668316665069</v>
      </c>
      <c r="E15">
        <v>0.17983844858997941</v>
      </c>
      <c r="F15">
        <v>0.42407363581102209</v>
      </c>
      <c r="G15">
        <v>0.42479936997608703</v>
      </c>
      <c r="H15">
        <v>48</v>
      </c>
      <c r="J15" s="1" t="s">
        <v>6</v>
      </c>
      <c r="K15">
        <v>5.606614581442193E-2</v>
      </c>
      <c r="L15">
        <v>0.31221668316665069</v>
      </c>
      <c r="M15">
        <v>0.17983844858997941</v>
      </c>
      <c r="N15">
        <v>0.42407363581102209</v>
      </c>
      <c r="O15">
        <v>0.42479936997608703</v>
      </c>
      <c r="P15">
        <v>48</v>
      </c>
      <c r="R15" s="1" t="s">
        <v>6</v>
      </c>
      <c r="S15">
        <v>5.606614581442193E-2</v>
      </c>
      <c r="T15">
        <v>0.31221668316665069</v>
      </c>
      <c r="U15">
        <v>0.17983844858997941</v>
      </c>
      <c r="V15">
        <v>0.42407363581102209</v>
      </c>
      <c r="W15">
        <v>0.42479936997608703</v>
      </c>
      <c r="X15">
        <v>48</v>
      </c>
    </row>
    <row r="16" spans="2:24" x14ac:dyDescent="0.35">
      <c r="B16" s="1" t="s">
        <v>7</v>
      </c>
      <c r="C16">
        <v>0.27033798164885781</v>
      </c>
      <c r="D16">
        <v>0.55602534931960956</v>
      </c>
      <c r="E16">
        <v>0.72220838972074386</v>
      </c>
      <c r="F16">
        <v>0.84982844722964168</v>
      </c>
      <c r="G16">
        <v>0.81420940297727562</v>
      </c>
      <c r="H16">
        <v>48</v>
      </c>
      <c r="J16" s="1" t="s">
        <v>7</v>
      </c>
      <c r="K16">
        <v>0.27033798164885781</v>
      </c>
      <c r="L16">
        <v>0.55602534931960956</v>
      </c>
      <c r="M16">
        <v>0.72220838972074386</v>
      </c>
      <c r="N16">
        <v>0.84982844722964168</v>
      </c>
      <c r="O16">
        <v>0.81420940297727562</v>
      </c>
      <c r="P16">
        <v>48</v>
      </c>
      <c r="R16" s="1" t="s">
        <v>7</v>
      </c>
      <c r="S16">
        <v>0.27033798164885781</v>
      </c>
      <c r="T16">
        <v>0.55602534931960956</v>
      </c>
      <c r="U16">
        <v>0.72220838972074386</v>
      </c>
      <c r="V16">
        <v>0.84982844722964168</v>
      </c>
      <c r="W16">
        <v>0.81420940297727562</v>
      </c>
      <c r="X16">
        <v>48</v>
      </c>
    </row>
    <row r="17" spans="2:24" x14ac:dyDescent="0.35">
      <c r="B17" s="1" t="s">
        <v>8</v>
      </c>
      <c r="C17">
        <v>0.5515758594960225</v>
      </c>
      <c r="D17">
        <v>0.73545992740791621</v>
      </c>
      <c r="E17">
        <v>1.272429132716042</v>
      </c>
      <c r="F17">
        <v>1.1280200054591409</v>
      </c>
      <c r="G17">
        <v>0.994605892946411</v>
      </c>
      <c r="H17">
        <v>47</v>
      </c>
      <c r="J17" s="1" t="s">
        <v>8</v>
      </c>
      <c r="K17">
        <v>0.5515758594960225</v>
      </c>
      <c r="L17">
        <v>0.73545992740791621</v>
      </c>
      <c r="M17">
        <v>1.272429132716042</v>
      </c>
      <c r="N17">
        <v>1.1280200054591409</v>
      </c>
      <c r="O17">
        <v>0.994605892946411</v>
      </c>
      <c r="P17">
        <v>47</v>
      </c>
      <c r="R17" s="1" t="s">
        <v>8</v>
      </c>
      <c r="S17">
        <v>0.5515758594960225</v>
      </c>
      <c r="T17">
        <v>0.73545992740791621</v>
      </c>
      <c r="U17">
        <v>1.272429132716042</v>
      </c>
      <c r="V17">
        <v>1.1280200054591409</v>
      </c>
      <c r="W17">
        <v>0.994605892946411</v>
      </c>
      <c r="X17">
        <v>47</v>
      </c>
    </row>
    <row r="18" spans="2:24" x14ac:dyDescent="0.35">
      <c r="B18" s="1" t="s">
        <v>9</v>
      </c>
      <c r="C18">
        <v>0.47710462066912002</v>
      </c>
      <c r="D18">
        <v>0.74831289282886548</v>
      </c>
      <c r="E18">
        <v>1.311803077829532</v>
      </c>
      <c r="F18">
        <v>1.145339721580253</v>
      </c>
      <c r="G18">
        <v>1.0527426181510899</v>
      </c>
      <c r="H18">
        <v>46</v>
      </c>
      <c r="J18" s="1" t="s">
        <v>9</v>
      </c>
      <c r="K18">
        <v>0.47710462066912002</v>
      </c>
      <c r="L18">
        <v>0.74831289282886548</v>
      </c>
      <c r="M18">
        <v>1.311803077829532</v>
      </c>
      <c r="N18">
        <v>1.145339721580253</v>
      </c>
      <c r="O18">
        <v>1.0527426181510899</v>
      </c>
      <c r="P18">
        <v>46</v>
      </c>
      <c r="R18" s="1" t="s">
        <v>9</v>
      </c>
      <c r="S18">
        <v>0.47710462066912002</v>
      </c>
      <c r="T18">
        <v>0.74831289282886548</v>
      </c>
      <c r="U18">
        <v>1.311803077829532</v>
      </c>
      <c r="V18">
        <v>1.145339721580253</v>
      </c>
      <c r="W18">
        <v>1.0527426181510899</v>
      </c>
      <c r="X18">
        <v>46</v>
      </c>
    </row>
    <row r="19" spans="2:24" x14ac:dyDescent="0.35">
      <c r="B19" s="1" t="s">
        <v>10</v>
      </c>
      <c r="C19">
        <v>0.38704798587443828</v>
      </c>
      <c r="D19">
        <v>0.61057290597671254</v>
      </c>
      <c r="E19">
        <v>0.89912522214514512</v>
      </c>
      <c r="F19">
        <v>0.94822213755277041</v>
      </c>
      <c r="G19">
        <v>0.8754136495616055</v>
      </c>
      <c r="H19">
        <v>45</v>
      </c>
      <c r="J19" s="1" t="s">
        <v>10</v>
      </c>
      <c r="K19">
        <v>0.38704798587443828</v>
      </c>
      <c r="L19">
        <v>0.61057290597671254</v>
      </c>
      <c r="M19">
        <v>0.89912522214514512</v>
      </c>
      <c r="N19">
        <v>0.94822213755277041</v>
      </c>
      <c r="O19">
        <v>0.8754136495616055</v>
      </c>
      <c r="P19">
        <v>45</v>
      </c>
      <c r="R19" s="1" t="s">
        <v>10</v>
      </c>
      <c r="S19">
        <v>0.38704798587443828</v>
      </c>
      <c r="T19">
        <v>0.61057290597671254</v>
      </c>
      <c r="U19">
        <v>0.89912522214514512</v>
      </c>
      <c r="V19">
        <v>0.94822213755277041</v>
      </c>
      <c r="W19">
        <v>0.8754136495616055</v>
      </c>
      <c r="X19">
        <v>45</v>
      </c>
    </row>
    <row r="20" spans="2:24" x14ac:dyDescent="0.35">
      <c r="B20" s="1" t="s">
        <v>11</v>
      </c>
      <c r="C20">
        <v>0.37184353198279152</v>
      </c>
      <c r="D20">
        <v>0.56807028008158744</v>
      </c>
      <c r="E20">
        <v>0.60810247217056457</v>
      </c>
      <c r="F20">
        <v>0.7798092537092417</v>
      </c>
      <c r="G20">
        <v>0.69607269682468331</v>
      </c>
      <c r="H20">
        <v>33</v>
      </c>
      <c r="J20" s="1" t="s">
        <v>11</v>
      </c>
      <c r="K20">
        <v>0.37184353198279152</v>
      </c>
      <c r="L20">
        <v>0.56807028008158744</v>
      </c>
      <c r="M20">
        <v>0.60810247217056457</v>
      </c>
      <c r="N20">
        <v>0.7798092537092417</v>
      </c>
      <c r="O20">
        <v>0.69607269682468331</v>
      </c>
      <c r="P20">
        <v>33</v>
      </c>
      <c r="R20" s="1" t="s">
        <v>11</v>
      </c>
      <c r="S20">
        <v>0.37184353198279152</v>
      </c>
      <c r="T20">
        <v>0.56807028008158744</v>
      </c>
      <c r="U20">
        <v>0.60810247217056457</v>
      </c>
      <c r="V20">
        <v>0.7798092537092417</v>
      </c>
      <c r="W20">
        <v>0.69607269682468331</v>
      </c>
      <c r="X20">
        <v>33</v>
      </c>
    </row>
    <row r="21" spans="2:24" x14ac:dyDescent="0.35">
      <c r="B21" s="1" t="s">
        <v>12</v>
      </c>
      <c r="C21">
        <v>0.36017924249494498</v>
      </c>
      <c r="D21">
        <v>0.55606168225165264</v>
      </c>
      <c r="E21">
        <v>0.63803233197162945</v>
      </c>
      <c r="F21">
        <v>0.79876926078288057</v>
      </c>
      <c r="G21">
        <v>0.72436187373877237</v>
      </c>
      <c r="H21">
        <v>32</v>
      </c>
      <c r="J21" s="1" t="s">
        <v>12</v>
      </c>
      <c r="K21">
        <v>0.36017924249494498</v>
      </c>
      <c r="L21">
        <v>0.55606168225165264</v>
      </c>
      <c r="M21">
        <v>0.63803233197162945</v>
      </c>
      <c r="N21">
        <v>0.79876926078288057</v>
      </c>
      <c r="O21">
        <v>0.72436187373877237</v>
      </c>
      <c r="P21">
        <v>32</v>
      </c>
      <c r="R21" s="1" t="s">
        <v>12</v>
      </c>
      <c r="S21">
        <v>0.36017924249494498</v>
      </c>
      <c r="T21">
        <v>0.55606168225165264</v>
      </c>
      <c r="U21">
        <v>0.63803233197162945</v>
      </c>
      <c r="V21">
        <v>0.79876926078288057</v>
      </c>
      <c r="W21">
        <v>0.72436187373877237</v>
      </c>
      <c r="X21">
        <v>32</v>
      </c>
    </row>
    <row r="22" spans="2:24" x14ac:dyDescent="0.35">
      <c r="B22" s="1"/>
      <c r="J22" s="1"/>
      <c r="R22" s="1"/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4.9796879185578069E-2</v>
      </c>
      <c r="D31">
        <f t="shared" ref="D31:G37" si="1">D3/D15</f>
        <v>2.2010611637725703</v>
      </c>
      <c r="E31">
        <f t="shared" si="1"/>
        <v>6.8442232050515104</v>
      </c>
      <c r="F31">
        <f>F3/F15</f>
        <v>2.61614663188917</v>
      </c>
      <c r="G31">
        <f t="shared" si="1"/>
        <v>2.6267015039660073</v>
      </c>
      <c r="H31">
        <f t="shared" ref="H31:H37" si="2">H3-H15</f>
        <v>1</v>
      </c>
      <c r="J31" s="1" t="s">
        <v>6</v>
      </c>
      <c r="K31">
        <f t="shared" ref="K31:K37" si="3">K3-K15</f>
        <v>0.20342537918557807</v>
      </c>
      <c r="L31">
        <f t="shared" ref="L31:O37" si="4">L3/L15</f>
        <v>2.782172125428509</v>
      </c>
      <c r="M31">
        <f t="shared" si="4"/>
        <v>13.464806897444094</v>
      </c>
      <c r="N31">
        <f t="shared" si="4"/>
        <v>3.6694423128285285</v>
      </c>
      <c r="O31">
        <f t="shared" si="4"/>
        <v>3.6493120742793614</v>
      </c>
      <c r="P31">
        <f t="shared" ref="P31:P37" si="5">P3-P15</f>
        <v>1</v>
      </c>
      <c r="R31" s="1" t="s">
        <v>6</v>
      </c>
      <c r="S31">
        <f t="shared" ref="S31:S37" si="6">S3-S15</f>
        <v>9.0545612185578078E-2</v>
      </c>
      <c r="T31">
        <f t="shared" ref="T31:W37" si="7">T3/T15</f>
        <v>1.9534781383685749</v>
      </c>
      <c r="U31">
        <f t="shared" si="7"/>
        <v>4.6341460935313972</v>
      </c>
      <c r="V31">
        <f t="shared" si="7"/>
        <v>2.1527066903230314</v>
      </c>
      <c r="W31">
        <f t="shared" si="7"/>
        <v>2.1431152829893514</v>
      </c>
      <c r="X31">
        <f t="shared" ref="X31:X37" si="8">X3-X15</f>
        <v>1</v>
      </c>
    </row>
    <row r="32" spans="2:24" x14ac:dyDescent="0.35">
      <c r="B32" s="1" t="s">
        <v>7</v>
      </c>
      <c r="C32">
        <f t="shared" si="0"/>
        <v>-7.4338148648857794E-2</v>
      </c>
      <c r="D32">
        <f t="shared" si="1"/>
        <v>1.232771302313403</v>
      </c>
      <c r="E32">
        <f t="shared" si="1"/>
        <v>2.1362724152187811</v>
      </c>
      <c r="F32">
        <f t="shared" si="1"/>
        <v>1.46159926635682</v>
      </c>
      <c r="G32">
        <f t="shared" si="1"/>
        <v>1.5227133296010371</v>
      </c>
      <c r="H32">
        <f t="shared" si="2"/>
        <v>-1</v>
      </c>
      <c r="J32" s="1" t="s">
        <v>7</v>
      </c>
      <c r="K32">
        <f t="shared" si="3"/>
        <v>-0.2294040496488578</v>
      </c>
      <c r="L32">
        <f t="shared" si="4"/>
        <v>1.3564627168939765</v>
      </c>
      <c r="M32">
        <f t="shared" si="4"/>
        <v>2.0569971605763664</v>
      </c>
      <c r="N32">
        <f t="shared" si="4"/>
        <v>1.434223538848709</v>
      </c>
      <c r="O32">
        <f t="shared" si="4"/>
        <v>1.5126539898660125</v>
      </c>
      <c r="P32">
        <f t="shared" si="5"/>
        <v>-2</v>
      </c>
      <c r="R32" s="1" t="s">
        <v>7</v>
      </c>
      <c r="S32">
        <f t="shared" si="6"/>
        <v>-0.17157536464885781</v>
      </c>
      <c r="T32">
        <f t="shared" si="7"/>
        <v>1.2054808037442855</v>
      </c>
      <c r="U32">
        <f t="shared" si="7"/>
        <v>1.4689640872355654</v>
      </c>
      <c r="V32">
        <f t="shared" si="7"/>
        <v>1.2120082863284904</v>
      </c>
      <c r="W32">
        <f t="shared" si="7"/>
        <v>1.2725261378846018</v>
      </c>
      <c r="X32">
        <f t="shared" si="8"/>
        <v>0</v>
      </c>
    </row>
    <row r="33" spans="2:24" x14ac:dyDescent="0.35">
      <c r="B33" s="1" t="s">
        <v>8</v>
      </c>
      <c r="C33">
        <f t="shared" si="0"/>
        <v>-0.5535375894960225</v>
      </c>
      <c r="D33">
        <f t="shared" si="1"/>
        <v>0.871129923091856</v>
      </c>
      <c r="E33">
        <f t="shared" si="1"/>
        <v>0.88208634346827353</v>
      </c>
      <c r="F33">
        <f t="shared" si="1"/>
        <v>0.93919451860144754</v>
      </c>
      <c r="G33">
        <f t="shared" si="1"/>
        <v>1.0766897819473293</v>
      </c>
      <c r="H33">
        <f t="shared" si="2"/>
        <v>0</v>
      </c>
      <c r="J33" s="1" t="s">
        <v>8</v>
      </c>
      <c r="K33">
        <f t="shared" si="3"/>
        <v>-0.49046921149602252</v>
      </c>
      <c r="L33">
        <f t="shared" si="4"/>
        <v>1.0383986530600195</v>
      </c>
      <c r="M33">
        <f t="shared" si="4"/>
        <v>1.0508169709584823</v>
      </c>
      <c r="N33">
        <f t="shared" si="4"/>
        <v>1.0250936396552095</v>
      </c>
      <c r="O33">
        <f t="shared" si="4"/>
        <v>1.1740915635846916</v>
      </c>
      <c r="P33">
        <f t="shared" si="5"/>
        <v>-2</v>
      </c>
      <c r="R33" s="1" t="s">
        <v>8</v>
      </c>
      <c r="S33">
        <f t="shared" si="6"/>
        <v>-0.42198628149602246</v>
      </c>
      <c r="T33">
        <f t="shared" si="7"/>
        <v>0.79299652267325216</v>
      </c>
      <c r="U33">
        <f t="shared" si="7"/>
        <v>0.64099971702079617</v>
      </c>
      <c r="V33">
        <f t="shared" si="7"/>
        <v>0.80062457902278117</v>
      </c>
      <c r="W33">
        <f t="shared" si="7"/>
        <v>0.90833710056117367</v>
      </c>
      <c r="X33">
        <f t="shared" si="8"/>
        <v>0</v>
      </c>
    </row>
    <row r="34" spans="2:24" x14ac:dyDescent="0.35">
      <c r="B34" s="1" t="s">
        <v>9</v>
      </c>
      <c r="C34">
        <f t="shared" si="0"/>
        <v>-0.38757165066912003</v>
      </c>
      <c r="D34">
        <f t="shared" si="1"/>
        <v>0.93302149233405263</v>
      </c>
      <c r="E34">
        <f t="shared" si="1"/>
        <v>1.2782436642658188</v>
      </c>
      <c r="F34">
        <f t="shared" si="1"/>
        <v>1.1305943857542764</v>
      </c>
      <c r="G34">
        <f t="shared" si="1"/>
        <v>1.240654956378473</v>
      </c>
      <c r="H34">
        <f t="shared" si="2"/>
        <v>0</v>
      </c>
      <c r="J34" s="1" t="s">
        <v>9</v>
      </c>
      <c r="K34">
        <f t="shared" si="3"/>
        <v>-0.18078356966912001</v>
      </c>
      <c r="L34">
        <f t="shared" si="4"/>
        <v>1.172731355305801</v>
      </c>
      <c r="M34">
        <f t="shared" si="4"/>
        <v>1.975528498749844</v>
      </c>
      <c r="N34">
        <f t="shared" si="4"/>
        <v>1.4055349514805084</v>
      </c>
      <c r="O34">
        <f t="shared" si="4"/>
        <v>1.5200179003015726</v>
      </c>
      <c r="P34">
        <f t="shared" si="5"/>
        <v>-1</v>
      </c>
      <c r="R34" s="1" t="s">
        <v>9</v>
      </c>
      <c r="S34">
        <f t="shared" si="6"/>
        <v>-0.34147526666911998</v>
      </c>
      <c r="T34">
        <f t="shared" si="7"/>
        <v>0.91827341154356978</v>
      </c>
      <c r="U34">
        <f t="shared" si="7"/>
        <v>0.91920882667474257</v>
      </c>
      <c r="V34">
        <f t="shared" si="7"/>
        <v>0.95875378833882274</v>
      </c>
      <c r="W34">
        <f t="shared" si="7"/>
        <v>1.0465347806807221</v>
      </c>
      <c r="X34">
        <f t="shared" si="8"/>
        <v>0</v>
      </c>
    </row>
    <row r="35" spans="2:24" x14ac:dyDescent="0.35">
      <c r="B35" s="1" t="s">
        <v>10</v>
      </c>
      <c r="C35">
        <f t="shared" si="0"/>
        <v>-0.34375465587443826</v>
      </c>
      <c r="D35">
        <f t="shared" si="1"/>
        <v>1.088386919064086</v>
      </c>
      <c r="E35">
        <f t="shared" si="1"/>
        <v>1.9085684282171995</v>
      </c>
      <c r="F35">
        <f t="shared" si="1"/>
        <v>1.3815094745424008</v>
      </c>
      <c r="G35">
        <f t="shared" si="1"/>
        <v>1.5124926001131791</v>
      </c>
      <c r="H35">
        <f t="shared" si="2"/>
        <v>0</v>
      </c>
      <c r="J35" s="1" t="s">
        <v>10</v>
      </c>
      <c r="K35">
        <f t="shared" si="3"/>
        <v>-0.31030013587443828</v>
      </c>
      <c r="L35">
        <f t="shared" si="4"/>
        <v>1.3539042396216792</v>
      </c>
      <c r="M35">
        <f t="shared" si="4"/>
        <v>2.2147514338982024</v>
      </c>
      <c r="N35">
        <f t="shared" si="4"/>
        <v>1.4882040970293915</v>
      </c>
      <c r="O35">
        <f t="shared" si="4"/>
        <v>1.6286418765734207</v>
      </c>
      <c r="P35">
        <f t="shared" si="5"/>
        <v>-2</v>
      </c>
      <c r="R35" s="1" t="s">
        <v>10</v>
      </c>
      <c r="S35">
        <f t="shared" si="6"/>
        <v>-0.27353479087443827</v>
      </c>
      <c r="T35">
        <f t="shared" si="7"/>
        <v>1.0247193969394102</v>
      </c>
      <c r="U35">
        <f t="shared" si="7"/>
        <v>1.0707436297950796</v>
      </c>
      <c r="V35">
        <f t="shared" si="7"/>
        <v>1.0347674275273866</v>
      </c>
      <c r="W35">
        <f t="shared" si="7"/>
        <v>1.125883655679325</v>
      </c>
      <c r="X35">
        <f t="shared" si="8"/>
        <v>0</v>
      </c>
    </row>
    <row r="36" spans="2:24" x14ac:dyDescent="0.35">
      <c r="B36" s="1" t="s">
        <v>11</v>
      </c>
      <c r="C36">
        <f t="shared" si="0"/>
        <v>-0.32994214898279151</v>
      </c>
      <c r="D36">
        <f t="shared" si="1"/>
        <v>1.1903318475011293</v>
      </c>
      <c r="E36">
        <f t="shared" si="1"/>
        <v>2.0199929061552324</v>
      </c>
      <c r="F36">
        <f t="shared" si="1"/>
        <v>1.4212645447950074</v>
      </c>
      <c r="G36">
        <f t="shared" si="1"/>
        <v>1.615772056755836</v>
      </c>
      <c r="H36">
        <f t="shared" si="2"/>
        <v>0</v>
      </c>
      <c r="J36" s="1" t="s">
        <v>11</v>
      </c>
      <c r="K36">
        <f t="shared" si="3"/>
        <v>-0.38805313398279151</v>
      </c>
      <c r="L36">
        <f t="shared" si="4"/>
        <v>1.6605163816429944</v>
      </c>
      <c r="M36">
        <f t="shared" si="4"/>
        <v>3.4199169896100723</v>
      </c>
      <c r="N36">
        <f t="shared" si="4"/>
        <v>1.8493017569879977</v>
      </c>
      <c r="O36">
        <f t="shared" si="4"/>
        <v>2.1058835415996735</v>
      </c>
      <c r="P36">
        <f t="shared" si="5"/>
        <v>-2</v>
      </c>
      <c r="R36" s="1" t="s">
        <v>11</v>
      </c>
      <c r="S36">
        <f t="shared" si="6"/>
        <v>-0.27440294398279153</v>
      </c>
      <c r="T36">
        <f t="shared" si="7"/>
        <v>1.0193231934556337</v>
      </c>
      <c r="U36">
        <f t="shared" si="7"/>
        <v>1.1777757380981559</v>
      </c>
      <c r="V36">
        <f t="shared" si="7"/>
        <v>1.085253766834045</v>
      </c>
      <c r="W36">
        <f t="shared" si="7"/>
        <v>1.2264479671367094</v>
      </c>
      <c r="X36">
        <f t="shared" si="8"/>
        <v>0</v>
      </c>
    </row>
    <row r="37" spans="2:24" x14ac:dyDescent="0.35">
      <c r="B37" s="1" t="s">
        <v>12</v>
      </c>
      <c r="C37">
        <f t="shared" si="0"/>
        <v>-0.27493409949494496</v>
      </c>
      <c r="D37">
        <f t="shared" si="1"/>
        <v>1.2976210805934481</v>
      </c>
      <c r="E37">
        <f t="shared" si="1"/>
        <v>1.9256574807162468</v>
      </c>
      <c r="F37">
        <f t="shared" si="1"/>
        <v>1.3876806124382048</v>
      </c>
      <c r="G37">
        <f t="shared" si="1"/>
        <v>1.5501056304972372</v>
      </c>
      <c r="H37">
        <f t="shared" si="2"/>
        <v>0</v>
      </c>
      <c r="J37" s="9" t="s">
        <v>12</v>
      </c>
      <c r="K37">
        <f t="shared" si="3"/>
        <v>-0.27682215449494496</v>
      </c>
      <c r="L37">
        <f t="shared" si="4"/>
        <v>1.6889701879781138</v>
      </c>
      <c r="M37">
        <f t="shared" si="4"/>
        <v>2.8230029369108682</v>
      </c>
      <c r="N37">
        <f t="shared" si="4"/>
        <v>1.6801794359044566</v>
      </c>
      <c r="O37">
        <f t="shared" si="4"/>
        <v>1.8808048647951316</v>
      </c>
      <c r="P37">
        <f t="shared" si="5"/>
        <v>-2</v>
      </c>
      <c r="R37" s="9" t="s">
        <v>12</v>
      </c>
      <c r="S37">
        <f t="shared" si="6"/>
        <v>-0.21419582049494498</v>
      </c>
      <c r="T37">
        <f t="shared" si="7"/>
        <v>1.0604806747556599</v>
      </c>
      <c r="U37">
        <f t="shared" si="7"/>
        <v>1.1517027526320947</v>
      </c>
      <c r="V37">
        <f t="shared" si="7"/>
        <v>1.0731741481386412</v>
      </c>
      <c r="W37">
        <f t="shared" si="7"/>
        <v>1.1847844110987795</v>
      </c>
      <c r="X37">
        <f t="shared" si="8"/>
        <v>0</v>
      </c>
    </row>
  </sheetData>
  <conditionalFormatting sqref="C31:G37 S25:W28">
    <cfRule type="cellIs" dxfId="175" priority="12" operator="greaterThan">
      <formula>0</formula>
    </cfRule>
  </conditionalFormatting>
  <conditionalFormatting sqref="D31:G37">
    <cfRule type="cellIs" dxfId="174" priority="9" operator="lessThan">
      <formula>1</formula>
    </cfRule>
    <cfRule type="cellIs" dxfId="173" priority="10" operator="greaterThan">
      <formula>1</formula>
    </cfRule>
  </conditionalFormatting>
  <conditionalFormatting sqref="K31:O37">
    <cfRule type="cellIs" dxfId="172" priority="7" operator="lessThan">
      <formula>0</formula>
    </cfRule>
    <cfRule type="cellIs" dxfId="171" priority="8" operator="greaterThan">
      <formula>0</formula>
    </cfRule>
  </conditionalFormatting>
  <conditionalFormatting sqref="L31:O37">
    <cfRule type="cellIs" dxfId="170" priority="5" operator="lessThan">
      <formula>1</formula>
    </cfRule>
    <cfRule type="cellIs" dxfId="169" priority="6" operator="greaterThan">
      <formula>1</formula>
    </cfRule>
  </conditionalFormatting>
  <conditionalFormatting sqref="S25:W28 C31:G37">
    <cfRule type="cellIs" dxfId="168" priority="11" operator="lessThan">
      <formula>0</formula>
    </cfRule>
  </conditionalFormatting>
  <conditionalFormatting sqref="S31:W37">
    <cfRule type="cellIs" dxfId="167" priority="3" operator="lessThan">
      <formula>0</formula>
    </cfRule>
    <cfRule type="cellIs" dxfId="166" priority="4" operator="greaterThan">
      <formula>0</formula>
    </cfRule>
  </conditionalFormatting>
  <conditionalFormatting sqref="T31:W37">
    <cfRule type="cellIs" dxfId="165" priority="1" operator="lessThan">
      <formula>1</formula>
    </cfRule>
    <cfRule type="cellIs" dxfId="164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O11" sqref="O11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-3.874681E-2</v>
      </c>
      <c r="D4">
        <v>0.55320013899999998</v>
      </c>
      <c r="E4">
        <v>0.75025714399999999</v>
      </c>
      <c r="F4">
        <v>0.86617385300000005</v>
      </c>
      <c r="G4">
        <v>0.88566972899999996</v>
      </c>
      <c r="H4">
        <v>22</v>
      </c>
    </row>
    <row r="5" spans="2:24" x14ac:dyDescent="0.35">
      <c r="B5" s="1" t="s">
        <v>7</v>
      </c>
      <c r="C5">
        <v>0.77416331999999999</v>
      </c>
      <c r="D5">
        <v>0.97343935999999998</v>
      </c>
      <c r="E5">
        <v>2.3770418499999999</v>
      </c>
      <c r="F5">
        <v>1.5417658219999999</v>
      </c>
      <c r="G5">
        <v>1.3662352120000001</v>
      </c>
      <c r="H5">
        <v>21</v>
      </c>
    </row>
    <row r="9" spans="2:24" x14ac:dyDescent="0.35">
      <c r="B9" s="17" t="s">
        <v>43</v>
      </c>
    </row>
    <row r="10" spans="2:24" ht="29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7.9345976827868953E-2</v>
      </c>
      <c r="D11">
        <v>0.83611534293309087</v>
      </c>
      <c r="E11">
        <v>1.5099436884383171</v>
      </c>
      <c r="F11">
        <v>1.228797659681331</v>
      </c>
      <c r="G11">
        <v>1.25508971215664</v>
      </c>
      <c r="H11">
        <v>22</v>
      </c>
      <c r="J11" s="1" t="s">
        <v>16</v>
      </c>
      <c r="K11">
        <v>0.15860677000000001</v>
      </c>
      <c r="L11">
        <v>1.5184263499999999</v>
      </c>
      <c r="M11">
        <v>7.0366282260000004</v>
      </c>
      <c r="N11">
        <v>2.6526643640000001</v>
      </c>
      <c r="O11">
        <v>2.7133089990000001</v>
      </c>
      <c r="P11">
        <v>21</v>
      </c>
      <c r="R11" s="1" t="s">
        <v>16</v>
      </c>
      <c r="S11" s="8">
        <v>0.155706973</v>
      </c>
      <c r="T11" s="8">
        <v>0.91414804800000005</v>
      </c>
      <c r="U11" s="8">
        <v>1.7103173650000001</v>
      </c>
      <c r="V11" s="8">
        <v>1.307791025</v>
      </c>
      <c r="W11" s="8">
        <v>1.3131612770000001</v>
      </c>
      <c r="X11" s="8">
        <v>45</v>
      </c>
    </row>
    <row r="12" spans="2:24" x14ac:dyDescent="0.35">
      <c r="B12" s="1" t="s">
        <v>6</v>
      </c>
      <c r="C12">
        <v>0.2468526762609122</v>
      </c>
      <c r="D12">
        <v>1.0126628568442271</v>
      </c>
      <c r="E12">
        <v>1.8317192061470351</v>
      </c>
      <c r="F12">
        <v>1.3534102135520609</v>
      </c>
      <c r="G12">
        <v>1.3620227459840559</v>
      </c>
      <c r="H12">
        <v>22</v>
      </c>
      <c r="R12" s="1" t="s">
        <v>6</v>
      </c>
      <c r="S12">
        <v>0.246962815</v>
      </c>
      <c r="T12">
        <v>1.2385035230000001</v>
      </c>
      <c r="U12">
        <v>3.9753361680000001</v>
      </c>
      <c r="V12">
        <v>1.9938245080000001</v>
      </c>
      <c r="W12">
        <v>1.9856780709999999</v>
      </c>
      <c r="X12">
        <v>138</v>
      </c>
    </row>
    <row r="13" spans="2:24" x14ac:dyDescent="0.35">
      <c r="B13" s="1" t="s">
        <v>7</v>
      </c>
      <c r="C13">
        <v>0.2298317591258757</v>
      </c>
      <c r="D13">
        <v>1.539245905618261</v>
      </c>
      <c r="E13">
        <v>10.859200113493751</v>
      </c>
      <c r="F13">
        <v>3.29533004621597</v>
      </c>
      <c r="G13">
        <v>3.3684857651161879</v>
      </c>
      <c r="H13">
        <v>21</v>
      </c>
      <c r="R13" s="1" t="s">
        <v>7</v>
      </c>
      <c r="S13">
        <v>0.29871431999999998</v>
      </c>
      <c r="T13">
        <v>1.3556766710000001</v>
      </c>
      <c r="U13">
        <v>8.5877431800000004</v>
      </c>
      <c r="V13">
        <v>2.9304851439999999</v>
      </c>
      <c r="W13">
        <v>2.9375600909999999</v>
      </c>
      <c r="X13">
        <v>66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0.28559948626091219</v>
      </c>
      <c r="D20">
        <f>D4/D12</f>
        <v>0.54628264013152805</v>
      </c>
      <c r="E20">
        <f t="shared" ref="D20:G21" si="0">E4/E12</f>
        <v>0.40959178758525044</v>
      </c>
      <c r="F20">
        <f>F4/F12</f>
        <v>0.63999358385711003</v>
      </c>
      <c r="G20">
        <f t="shared" si="0"/>
        <v>0.65026060072154457</v>
      </c>
      <c r="H20">
        <f>H12-H4</f>
        <v>0</v>
      </c>
      <c r="J20" s="9" t="s">
        <v>25</v>
      </c>
      <c r="K20">
        <f>C4-K11</f>
        <v>-0.19735358</v>
      </c>
      <c r="L20">
        <f>D4/L11</f>
        <v>0.36432464373395523</v>
      </c>
      <c r="M20">
        <f>E4/M11</f>
        <v>0.10662168298558622</v>
      </c>
      <c r="N20">
        <f>F4/N11</f>
        <v>0.32652975806327833</v>
      </c>
      <c r="O20">
        <f>G4/O11</f>
        <v>0.32641683248255793</v>
      </c>
      <c r="P20">
        <f>H4-P11</f>
        <v>1</v>
      </c>
      <c r="R20" s="1" t="s">
        <v>6</v>
      </c>
      <c r="S20">
        <f>S12-C4</f>
        <v>0.28570962500000002</v>
      </c>
      <c r="T20">
        <f>D4/T12</f>
        <v>0.44666819974802763</v>
      </c>
      <c r="U20">
        <f t="shared" ref="T20:W21" si="1">E4/U12</f>
        <v>0.18872797476583117</v>
      </c>
      <c r="V20">
        <f t="shared" si="1"/>
        <v>0.43442833084084048</v>
      </c>
      <c r="W20">
        <f t="shared" si="1"/>
        <v>0.44602886134204583</v>
      </c>
      <c r="X20">
        <f>X12-H4</f>
        <v>116</v>
      </c>
    </row>
    <row r="21" spans="2:24" x14ac:dyDescent="0.35">
      <c r="B21" s="1" t="s">
        <v>7</v>
      </c>
      <c r="C21">
        <f>C13-C5</f>
        <v>-0.54433156087412427</v>
      </c>
      <c r="D21">
        <f t="shared" si="0"/>
        <v>0.63241315532946218</v>
      </c>
      <c r="E21">
        <f t="shared" si="0"/>
        <v>0.21889658770043882</v>
      </c>
      <c r="F21">
        <f t="shared" si="0"/>
        <v>0.46786385593467661</v>
      </c>
      <c r="G21">
        <f t="shared" si="0"/>
        <v>0.40559328649942361</v>
      </c>
      <c r="H21">
        <f>H13-H5</f>
        <v>0</v>
      </c>
      <c r="J21" s="12"/>
      <c r="R21" s="1" t="s">
        <v>7</v>
      </c>
      <c r="S21">
        <f>S13-C5</f>
        <v>-0.47544900000000001</v>
      </c>
      <c r="T21">
        <f t="shared" si="1"/>
        <v>0.71804684761739912</v>
      </c>
      <c r="U21">
        <f t="shared" si="1"/>
        <v>0.27679470615002716</v>
      </c>
      <c r="V21">
        <f t="shared" si="1"/>
        <v>0.52611282645696977</v>
      </c>
      <c r="W21">
        <f t="shared" si="1"/>
        <v>0.46509183460989501</v>
      </c>
      <c r="X21">
        <f>X13-H5</f>
        <v>45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1.3849393999999999E-2</v>
      </c>
      <c r="D31">
        <v>2.218786637</v>
      </c>
      <c r="E31">
        <v>21.841521279999998</v>
      </c>
      <c r="F31">
        <v>4.6734913379999998</v>
      </c>
      <c r="G31">
        <v>4.7834498830000003</v>
      </c>
      <c r="H31">
        <v>22</v>
      </c>
    </row>
    <row r="32" spans="2:24" x14ac:dyDescent="0.35">
      <c r="B32" s="1" t="s">
        <v>7</v>
      </c>
      <c r="C32">
        <v>-0.11089528</v>
      </c>
      <c r="D32">
        <v>2.5280081810000001</v>
      </c>
      <c r="E32">
        <v>20.819291530000001</v>
      </c>
      <c r="F32">
        <v>4.5628161839999999</v>
      </c>
      <c r="G32">
        <v>4.674114189</v>
      </c>
      <c r="H32">
        <v>21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0.23300328226091221</v>
      </c>
      <c r="D38">
        <f>D31/D12</f>
        <v>2.191041788492599</v>
      </c>
      <c r="E38">
        <f t="shared" ref="E38:G38" si="2">E31/E12</f>
        <v>11.924055393808402</v>
      </c>
      <c r="F38">
        <f t="shared" si="2"/>
        <v>3.453122557524003</v>
      </c>
      <c r="G38">
        <f t="shared" si="2"/>
        <v>3.5120190885975089</v>
      </c>
      <c r="H38">
        <f>H12-H31</f>
        <v>0</v>
      </c>
      <c r="J38" s="9" t="s">
        <v>25</v>
      </c>
      <c r="K38">
        <f>C31-K11</f>
        <v>-0.14475737600000002</v>
      </c>
      <c r="L38">
        <f>D31/L11</f>
        <v>1.4612408675600237</v>
      </c>
      <c r="M38">
        <f t="shared" ref="M38:O38" si="3">E31/M11</f>
        <v>3.1039754522338745</v>
      </c>
      <c r="N38">
        <f t="shared" si="3"/>
        <v>1.7618102770275688</v>
      </c>
      <c r="O38">
        <f t="shared" si="3"/>
        <v>1.7629580282831621</v>
      </c>
      <c r="R38" s="9" t="s">
        <v>25</v>
      </c>
      <c r="S38">
        <f>C31-S12</f>
        <v>-0.23311342100000002</v>
      </c>
      <c r="T38">
        <f>D31/T12</f>
        <v>1.7915061166927337</v>
      </c>
      <c r="U38">
        <f t="shared" ref="U38:W38" si="4">E31/U12</f>
        <v>5.494257682109061</v>
      </c>
      <c r="V38">
        <f t="shared" si="4"/>
        <v>2.3439832940402394</v>
      </c>
      <c r="W38">
        <f t="shared" si="4"/>
        <v>2.4089755297499078</v>
      </c>
    </row>
    <row r="39" spans="2:24" x14ac:dyDescent="0.35">
      <c r="B39" s="1" t="s">
        <v>7</v>
      </c>
      <c r="C39">
        <f>C13-C32</f>
        <v>0.34072703912587571</v>
      </c>
      <c r="D39">
        <f>D32/D13</f>
        <v>1.6423679749757645</v>
      </c>
      <c r="E39">
        <f t="shared" ref="E39:G39" si="5">E32/E13</f>
        <v>1.9172030455659197</v>
      </c>
      <c r="F39">
        <f t="shared" si="5"/>
        <v>1.3846310141952201</v>
      </c>
      <c r="G39">
        <f t="shared" si="5"/>
        <v>1.3876009919367367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0.12750979800000001</v>
      </c>
      <c r="D46">
        <v>1.51412228</v>
      </c>
      <c r="E46">
        <v>9.3243982679999995</v>
      </c>
      <c r="F46">
        <v>3.05358777</v>
      </c>
      <c r="G46">
        <v>3.1227206500000002</v>
      </c>
      <c r="H46">
        <v>22</v>
      </c>
    </row>
    <row r="47" spans="2:24" x14ac:dyDescent="0.35">
      <c r="B47" s="1" t="s">
        <v>7</v>
      </c>
      <c r="C47">
        <v>2.9890368E-2</v>
      </c>
      <c r="D47">
        <v>1.469662408</v>
      </c>
      <c r="E47">
        <v>8.9142872799999999</v>
      </c>
      <c r="F47">
        <v>2.9856803709999999</v>
      </c>
      <c r="G47">
        <v>3.0592586580000001</v>
      </c>
      <c r="H47">
        <v>21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0.11934287826091219</v>
      </c>
      <c r="D53">
        <f>D46/D12</f>
        <v>1.495188916791593</v>
      </c>
      <c r="E53">
        <f t="shared" ref="E53:G54" si="6">E46/E12</f>
        <v>5.0905172783625412</v>
      </c>
      <c r="F53">
        <f t="shared" si="6"/>
        <v>2.2562174715571106</v>
      </c>
      <c r="G53">
        <f t="shared" si="6"/>
        <v>2.292708149850939</v>
      </c>
      <c r="H53">
        <f>H12-H46</f>
        <v>0</v>
      </c>
      <c r="J53" s="9" t="s">
        <v>25</v>
      </c>
      <c r="K53">
        <f>C46-K20</f>
        <v>0.32486337799999998</v>
      </c>
      <c r="L53">
        <f>D46/L11</f>
        <v>0.99716544039162658</v>
      </c>
      <c r="M53">
        <f t="shared" ref="M53:O53" si="7">E46/M11</f>
        <v>1.3251230516267436</v>
      </c>
      <c r="N53">
        <f t="shared" si="7"/>
        <v>1.1511398921933118</v>
      </c>
      <c r="O53">
        <f t="shared" si="7"/>
        <v>1.1508901681124009</v>
      </c>
      <c r="R53" s="9" t="s">
        <v>25</v>
      </c>
      <c r="S53">
        <f>C46-S20</f>
        <v>-0.15819982700000002</v>
      </c>
      <c r="T53">
        <f>D46/T12</f>
        <v>1.2225417626042554</v>
      </c>
      <c r="U53">
        <f t="shared" ref="U53:W53" si="8">E46/U12</f>
        <v>2.3455622050426803</v>
      </c>
      <c r="V53">
        <f t="shared" si="8"/>
        <v>1.5315228385185442</v>
      </c>
      <c r="W53">
        <f t="shared" si="8"/>
        <v>1.5726218139818497</v>
      </c>
    </row>
    <row r="54" spans="2:24" x14ac:dyDescent="0.35">
      <c r="B54" s="1" t="s">
        <v>7</v>
      </c>
      <c r="C54">
        <f>C13-C47</f>
        <v>0.19994139112587569</v>
      </c>
      <c r="D54">
        <f>D47/D13</f>
        <v>0.95479377442923152</v>
      </c>
      <c r="E54">
        <f t="shared" si="6"/>
        <v>0.82089722878603344</v>
      </c>
      <c r="F54">
        <f t="shared" si="6"/>
        <v>0.90603378997756501</v>
      </c>
      <c r="G54">
        <f t="shared" si="6"/>
        <v>0.90819996619296328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-0.134988356</v>
      </c>
      <c r="D60">
        <v>1.932678106</v>
      </c>
      <c r="E60">
        <v>16.79600654</v>
      </c>
      <c r="F60">
        <v>4.0982931249999996</v>
      </c>
      <c r="G60">
        <v>4.1924607099999998</v>
      </c>
      <c r="H60">
        <v>22</v>
      </c>
    </row>
    <row r="61" spans="2:24" x14ac:dyDescent="0.35">
      <c r="B61" s="1" t="s">
        <v>7</v>
      </c>
      <c r="C61">
        <v>0.12070882400000001</v>
      </c>
      <c r="D61">
        <v>1.7861046860000001</v>
      </c>
      <c r="E61">
        <v>11.460899059999999</v>
      </c>
      <c r="F61">
        <v>3.3853949640000001</v>
      </c>
      <c r="G61">
        <v>3.4667917250000002</v>
      </c>
      <c r="H61">
        <v>21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0.38184103226091221</v>
      </c>
      <c r="D67">
        <f>D60/D12</f>
        <v>1.9085109056165317</v>
      </c>
      <c r="E67">
        <f t="shared" ref="E67:G68" si="9">E60/E12</f>
        <v>9.1695312707507632</v>
      </c>
      <c r="F67">
        <f t="shared" si="9"/>
        <v>3.028123390796587</v>
      </c>
      <c r="G67">
        <f t="shared" si="9"/>
        <v>3.0781135794989707</v>
      </c>
      <c r="H67">
        <f>H12-H60</f>
        <v>0</v>
      </c>
      <c r="J67" s="9" t="s">
        <v>25</v>
      </c>
      <c r="K67">
        <f>K20-C60</f>
        <v>-6.2365223999999997E-2</v>
      </c>
      <c r="L67">
        <f>D60/L11</f>
        <v>1.2728164958412373</v>
      </c>
      <c r="M67">
        <f t="shared" ref="M67:O67" si="10">E60/M11</f>
        <v>2.3869395967147407</v>
      </c>
      <c r="N67">
        <f t="shared" si="10"/>
        <v>1.5449723608531123</v>
      </c>
      <c r="O67">
        <f t="shared" si="10"/>
        <v>1.5451467973404969</v>
      </c>
      <c r="R67" s="9" t="s">
        <v>25</v>
      </c>
      <c r="S67">
        <f>S20-S60</f>
        <v>0.28570962500000002</v>
      </c>
      <c r="T67">
        <f>D60/T12</f>
        <v>1.5604946373656781</v>
      </c>
      <c r="U67">
        <f t="shared" ref="U67:W67" si="11">E60/U12</f>
        <v>4.2250531351792837</v>
      </c>
      <c r="V67">
        <f t="shared" si="11"/>
        <v>2.0554934040363393</v>
      </c>
      <c r="W67">
        <f t="shared" si="11"/>
        <v>2.1113496549260122</v>
      </c>
    </row>
    <row r="68" spans="2:24" x14ac:dyDescent="0.35">
      <c r="B68" s="1" t="s">
        <v>7</v>
      </c>
      <c r="C68">
        <f>C13-C61</f>
        <v>0.10912293512587569</v>
      </c>
      <c r="D68">
        <f>D61/D13</f>
        <v>1.160376441139588</v>
      </c>
      <c r="E68">
        <f t="shared" si="9"/>
        <v>1.0554091406565544</v>
      </c>
      <c r="F68">
        <f t="shared" si="9"/>
        <v>1.0273310765601313</v>
      </c>
      <c r="G68">
        <f t="shared" si="9"/>
        <v>1.0291840211711334</v>
      </c>
      <c r="H68">
        <f>H13-H61</f>
        <v>0</v>
      </c>
    </row>
  </sheetData>
  <phoneticPr fontId="3" type="noConversion"/>
  <conditionalFormatting sqref="D20:G21">
    <cfRule type="cellIs" dxfId="163" priority="47" operator="lessThan">
      <formula>0</formula>
    </cfRule>
    <cfRule type="cellIs" dxfId="162" priority="46" operator="greaterThan">
      <formula>1</formula>
    </cfRule>
    <cfRule type="cellIs" dxfId="161" priority="45" operator="lessThan">
      <formula>1</formula>
    </cfRule>
    <cfRule type="cellIs" dxfId="160" priority="48" operator="greaterThan">
      <formula>0</formula>
    </cfRule>
  </conditionalFormatting>
  <conditionalFormatting sqref="D38:G39">
    <cfRule type="cellIs" dxfId="159" priority="42" operator="greaterThan">
      <formula>1</formula>
    </cfRule>
    <cfRule type="cellIs" dxfId="158" priority="44" operator="greaterThan">
      <formula>0</formula>
    </cfRule>
    <cfRule type="cellIs" dxfId="157" priority="43" operator="lessThan">
      <formula>0</formula>
    </cfRule>
    <cfRule type="cellIs" dxfId="156" priority="41" operator="lessThan">
      <formula>1</formula>
    </cfRule>
  </conditionalFormatting>
  <conditionalFormatting sqref="D53:G54">
    <cfRule type="cellIs" dxfId="155" priority="40" operator="greaterThan">
      <formula>0</formula>
    </cfRule>
    <cfRule type="cellIs" dxfId="154" priority="39" operator="lessThan">
      <formula>0</formula>
    </cfRule>
    <cfRule type="cellIs" dxfId="153" priority="38" operator="greaterThan">
      <formula>1</formula>
    </cfRule>
    <cfRule type="cellIs" dxfId="152" priority="37" operator="lessThan">
      <formula>1</formula>
    </cfRule>
  </conditionalFormatting>
  <conditionalFormatting sqref="D67:G68">
    <cfRule type="cellIs" dxfId="151" priority="36" operator="greaterThan">
      <formula>0</formula>
    </cfRule>
    <cfRule type="cellIs" dxfId="150" priority="35" operator="lessThan">
      <formula>0</formula>
    </cfRule>
    <cfRule type="cellIs" dxfId="149" priority="34" operator="greaterThan">
      <formula>1</formula>
    </cfRule>
    <cfRule type="cellIs" dxfId="148" priority="33" operator="lessThan">
      <formula>1</formula>
    </cfRule>
  </conditionalFormatting>
  <conditionalFormatting sqref="L20:O20">
    <cfRule type="cellIs" dxfId="147" priority="7" operator="lessThan">
      <formula>0</formula>
    </cfRule>
    <cfRule type="cellIs" dxfId="146" priority="5" operator="lessThan">
      <formula>1</formula>
    </cfRule>
    <cfRule type="cellIs" dxfId="145" priority="6" operator="greaterThan">
      <formula>1</formula>
    </cfRule>
    <cfRule type="cellIs" dxfId="144" priority="8" operator="greaterThan">
      <formula>0</formula>
    </cfRule>
  </conditionalFormatting>
  <conditionalFormatting sqref="L38:O38">
    <cfRule type="cellIs" dxfId="143" priority="31" operator="lessThan">
      <formula>0</formula>
    </cfRule>
    <cfRule type="cellIs" dxfId="142" priority="32" operator="greaterThan">
      <formula>0</formula>
    </cfRule>
    <cfRule type="cellIs" dxfId="141" priority="30" operator="greaterThan">
      <formula>1</formula>
    </cfRule>
    <cfRule type="cellIs" dxfId="140" priority="29" operator="lessThan">
      <formula>1</formula>
    </cfRule>
  </conditionalFormatting>
  <conditionalFormatting sqref="L53:O53">
    <cfRule type="cellIs" dxfId="139" priority="25" operator="lessThan">
      <formula>1</formula>
    </cfRule>
    <cfRule type="cellIs" dxfId="138" priority="26" operator="greaterThan">
      <formula>1</formula>
    </cfRule>
    <cfRule type="cellIs" dxfId="137" priority="27" operator="lessThan">
      <formula>0</formula>
    </cfRule>
    <cfRule type="cellIs" dxfId="136" priority="28" operator="greaterThan">
      <formula>0</formula>
    </cfRule>
  </conditionalFormatting>
  <conditionalFormatting sqref="L67:O67">
    <cfRule type="cellIs" dxfId="135" priority="24" operator="greaterThan">
      <formula>0</formula>
    </cfRule>
    <cfRule type="cellIs" dxfId="134" priority="23" operator="lessThan">
      <formula>0</formula>
    </cfRule>
    <cfRule type="cellIs" dxfId="133" priority="22" operator="greaterThan">
      <formula>1</formula>
    </cfRule>
    <cfRule type="cellIs" dxfId="132" priority="21" operator="lessThan">
      <formula>1</formula>
    </cfRule>
  </conditionalFormatting>
  <conditionalFormatting sqref="T20:W21">
    <cfRule type="cellIs" dxfId="131" priority="1" operator="lessThan">
      <formula>1</formula>
    </cfRule>
    <cfRule type="cellIs" dxfId="130" priority="4" operator="greaterThan">
      <formula>0</formula>
    </cfRule>
    <cfRule type="cellIs" dxfId="129" priority="3" operator="lessThan">
      <formula>0</formula>
    </cfRule>
    <cfRule type="cellIs" dxfId="128" priority="2" operator="greaterThan">
      <formula>1</formula>
    </cfRule>
  </conditionalFormatting>
  <conditionalFormatting sqref="T38:W38">
    <cfRule type="cellIs" dxfId="127" priority="12" operator="greaterThan">
      <formula>0</formula>
    </cfRule>
    <cfRule type="cellIs" dxfId="126" priority="11" operator="lessThan">
      <formula>0</formula>
    </cfRule>
    <cfRule type="cellIs" dxfId="125" priority="10" operator="greaterThan">
      <formula>1</formula>
    </cfRule>
    <cfRule type="cellIs" dxfId="124" priority="9" operator="lessThan">
      <formula>1</formula>
    </cfRule>
  </conditionalFormatting>
  <conditionalFormatting sqref="T53:W53">
    <cfRule type="cellIs" dxfId="123" priority="16" operator="greaterThan">
      <formula>0</formula>
    </cfRule>
    <cfRule type="cellIs" dxfId="122" priority="15" operator="lessThan">
      <formula>0</formula>
    </cfRule>
    <cfRule type="cellIs" dxfId="121" priority="14" operator="greaterThan">
      <formula>1</formula>
    </cfRule>
    <cfRule type="cellIs" dxfId="120" priority="13" operator="lessThan">
      <formula>1</formula>
    </cfRule>
  </conditionalFormatting>
  <conditionalFormatting sqref="T67:W67">
    <cfRule type="cellIs" dxfId="119" priority="19" operator="lessThan">
      <formula>0</formula>
    </cfRule>
    <cfRule type="cellIs" dxfId="118" priority="20" operator="greaterThan">
      <formula>0</formula>
    </cfRule>
    <cfRule type="cellIs" dxfId="117" priority="18" operator="greaterThan">
      <formula>1</formula>
    </cfRule>
    <cfRule type="cellIs" dxfId="116" priority="17" operator="lessThan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topLeftCell="A26" zoomScale="75" workbookViewId="0">
      <selection activeCell="L25" sqref="L25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8.9763442485756725E-2</v>
      </c>
      <c r="D4">
        <v>0.28103425727287751</v>
      </c>
      <c r="E4">
        <v>0.12776354524302791</v>
      </c>
      <c r="F4">
        <v>0.35744026807709822</v>
      </c>
      <c r="G4">
        <v>0.35601629617777608</v>
      </c>
      <c r="H4">
        <v>18</v>
      </c>
    </row>
    <row r="5" spans="2:24" x14ac:dyDescent="0.35">
      <c r="B5" s="1" t="s">
        <v>7</v>
      </c>
      <c r="C5">
        <v>0.46117092245058838</v>
      </c>
      <c r="D5">
        <v>0.52141730759963578</v>
      </c>
      <c r="E5">
        <v>0.52478496805695107</v>
      </c>
      <c r="F5">
        <v>0.72442043597413175</v>
      </c>
      <c r="G5">
        <v>0.57585848531949546</v>
      </c>
      <c r="H5">
        <v>17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4.5830639170257842E-2</v>
      </c>
      <c r="D11">
        <v>0.65461633924350404</v>
      </c>
      <c r="E11">
        <v>0.7994021891984372</v>
      </c>
      <c r="F11">
        <v>0.8940929421477597</v>
      </c>
      <c r="G11">
        <v>0.91880457343513011</v>
      </c>
      <c r="H11">
        <v>18</v>
      </c>
      <c r="J11" s="1" t="s">
        <v>16</v>
      </c>
      <c r="K11">
        <v>0.10578005855515531</v>
      </c>
      <c r="L11">
        <v>0.62773880545278971</v>
      </c>
      <c r="M11">
        <v>0.56751959354789938</v>
      </c>
      <c r="N11">
        <v>0.75333896324821759</v>
      </c>
      <c r="O11">
        <v>0.76883080619695854</v>
      </c>
      <c r="P11">
        <v>17</v>
      </c>
      <c r="R11" s="1" t="s">
        <v>16</v>
      </c>
      <c r="S11">
        <v>2.2925997959235729E-2</v>
      </c>
      <c r="T11">
        <v>0.65707444753801247</v>
      </c>
      <c r="U11">
        <v>0.85677159448890017</v>
      </c>
      <c r="V11">
        <v>0.92561957330692834</v>
      </c>
      <c r="W11">
        <v>0.93775677907650734</v>
      </c>
      <c r="X11">
        <v>38</v>
      </c>
    </row>
    <row r="12" spans="2:24" x14ac:dyDescent="0.35">
      <c r="B12" s="1" t="s">
        <v>6</v>
      </c>
      <c r="C12">
        <v>2.3314544248538589E-2</v>
      </c>
      <c r="D12">
        <v>0.5960189285422115</v>
      </c>
      <c r="E12">
        <v>0.58858932775916473</v>
      </c>
      <c r="F12">
        <v>0.76719575582713229</v>
      </c>
      <c r="G12">
        <v>0.78907330890853367</v>
      </c>
      <c r="H12">
        <v>18</v>
      </c>
      <c r="R12" s="1" t="s">
        <v>6</v>
      </c>
      <c r="S12">
        <v>0.22903031140190999</v>
      </c>
      <c r="T12">
        <v>0.78223544878103302</v>
      </c>
      <c r="U12">
        <v>1.183256247942007</v>
      </c>
      <c r="V12">
        <v>1.0877758261434229</v>
      </c>
      <c r="W12">
        <v>1.0680452586923439</v>
      </c>
      <c r="X12">
        <v>115</v>
      </c>
    </row>
    <row r="13" spans="2:24" x14ac:dyDescent="0.35">
      <c r="B13" s="1" t="s">
        <v>7</v>
      </c>
      <c r="C13">
        <v>0.31992950100739109</v>
      </c>
      <c r="D13">
        <v>0.60429684147012819</v>
      </c>
      <c r="E13">
        <v>0.82185357698227435</v>
      </c>
      <c r="F13">
        <v>0.90656140276446495</v>
      </c>
      <c r="G13">
        <v>0.87433824094448742</v>
      </c>
      <c r="H13">
        <v>17</v>
      </c>
      <c r="R13" s="1" t="s">
        <v>7</v>
      </c>
      <c r="S13">
        <v>5.9798202013338998E-2</v>
      </c>
      <c r="T13">
        <v>0.51776767843741245</v>
      </c>
      <c r="U13">
        <v>0.35706261397887662</v>
      </c>
      <c r="V13">
        <v>0.5975471646480105</v>
      </c>
      <c r="W13">
        <v>0.60002736659528411</v>
      </c>
      <c r="X13">
        <v>55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-6.644889823721814E-2</v>
      </c>
      <c r="D20">
        <f>D4/D12</f>
        <v>0.47151901359953868</v>
      </c>
      <c r="E20">
        <f t="shared" ref="D20:G21" si="0">E4/E12</f>
        <v>0.21706738334763928</v>
      </c>
      <c r="F20">
        <f>F4/F12</f>
        <v>0.46590490805274754</v>
      </c>
      <c r="G20">
        <f t="shared" si="0"/>
        <v>0.45118278892265018</v>
      </c>
      <c r="H20">
        <f>H12-H4</f>
        <v>0</v>
      </c>
      <c r="J20" s="9" t="s">
        <v>25</v>
      </c>
      <c r="K20">
        <f>C4-K11</f>
        <v>-1.6016616069398582E-2</v>
      </c>
      <c r="L20">
        <f>D4/L11</f>
        <v>0.44769298127135337</v>
      </c>
      <c r="M20">
        <f>E4/M11</f>
        <v>0.22512622770308724</v>
      </c>
      <c r="N20">
        <f>F4/N11</f>
        <v>0.47447468605088633</v>
      </c>
      <c r="O20">
        <f>G4/O11</f>
        <v>0.46306195499477953</v>
      </c>
      <c r="P20">
        <f>H4-P11</f>
        <v>1</v>
      </c>
      <c r="R20" s="1" t="s">
        <v>6</v>
      </c>
      <c r="S20">
        <f>S12-C4</f>
        <v>0.13926686891615325</v>
      </c>
      <c r="T20">
        <f>D4/T12</f>
        <v>0.35927067446357308</v>
      </c>
      <c r="U20">
        <f t="shared" ref="T20:W21" si="1">E4/U12</f>
        <v>0.1079762270135841</v>
      </c>
      <c r="V20">
        <f t="shared" si="1"/>
        <v>0.32859736306547577</v>
      </c>
      <c r="W20">
        <f t="shared" si="1"/>
        <v>0.33333446619449714</v>
      </c>
      <c r="X20">
        <f>X12-H4</f>
        <v>97</v>
      </c>
    </row>
    <row r="21" spans="2:24" x14ac:dyDescent="0.35">
      <c r="B21" s="1" t="s">
        <v>7</v>
      </c>
      <c r="C21">
        <f>C13-C5</f>
        <v>-0.14124142144319729</v>
      </c>
      <c r="D21">
        <f t="shared" si="0"/>
        <v>0.86284963252684921</v>
      </c>
      <c r="E21">
        <f t="shared" si="0"/>
        <v>0.63853827829512455</v>
      </c>
      <c r="F21">
        <f t="shared" si="0"/>
        <v>0.79908590169963867</v>
      </c>
      <c r="G21">
        <f t="shared" si="0"/>
        <v>0.65862209652117598</v>
      </c>
      <c r="H21">
        <f>H13-H5</f>
        <v>0</v>
      </c>
      <c r="J21" s="12"/>
      <c r="R21" s="1" t="s">
        <v>7</v>
      </c>
      <c r="S21">
        <f>S13-C5</f>
        <v>-0.40137272043724936</v>
      </c>
      <c r="T21">
        <f t="shared" si="1"/>
        <v>1.0070487775004373</v>
      </c>
      <c r="U21">
        <f t="shared" si="1"/>
        <v>1.4697281303384977</v>
      </c>
      <c r="V21">
        <f t="shared" si="1"/>
        <v>1.212323442955096</v>
      </c>
      <c r="W21">
        <f t="shared" si="1"/>
        <v>0.95972036840097918</v>
      </c>
      <c r="X21">
        <f>X13-H5</f>
        <v>38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3.4295764379468199E-2</v>
      </c>
      <c r="D31">
        <v>0.71018997238064385</v>
      </c>
      <c r="E31">
        <v>1.289702247641167</v>
      </c>
      <c r="F31">
        <v>1.135650583428357</v>
      </c>
      <c r="G31">
        <v>1.168041822059525</v>
      </c>
      <c r="H31">
        <v>18</v>
      </c>
    </row>
    <row r="32" spans="2:24" x14ac:dyDescent="0.35">
      <c r="B32" s="1" t="s">
        <v>7</v>
      </c>
      <c r="C32">
        <v>-9.4193784666920549E-2</v>
      </c>
      <c r="D32">
        <v>0.72636911064580389</v>
      </c>
      <c r="E32">
        <v>1.279513535791599</v>
      </c>
      <c r="F32">
        <v>1.131155840630105</v>
      </c>
      <c r="G32">
        <v>1.1619191595768741</v>
      </c>
      <c r="H32">
        <v>17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-1.0981220130929611E-2</v>
      </c>
      <c r="D38">
        <f>D31/D12</f>
        <v>1.1915560704048118</v>
      </c>
      <c r="E38">
        <f t="shared" ref="E38:G39" si="2">E31/E12</f>
        <v>2.1911750465324089</v>
      </c>
      <c r="F38">
        <f t="shared" si="2"/>
        <v>1.4802618168865971</v>
      </c>
      <c r="G38">
        <f t="shared" si="2"/>
        <v>1.4802703486133504</v>
      </c>
      <c r="H38">
        <f>H12-H31</f>
        <v>0</v>
      </c>
      <c r="J38" s="9" t="s">
        <v>25</v>
      </c>
      <c r="K38">
        <f>C31-K11</f>
        <v>-7.1484294175687108E-2</v>
      </c>
      <c r="L38">
        <f>D31/L11</f>
        <v>1.1313462959620313</v>
      </c>
      <c r="M38">
        <f t="shared" ref="M38:O38" si="3">E31/M11</f>
        <v>2.2725246181871506</v>
      </c>
      <c r="N38">
        <f t="shared" si="3"/>
        <v>1.5074895084832769</v>
      </c>
      <c r="O38">
        <f t="shared" si="3"/>
        <v>1.5192443027059153</v>
      </c>
      <c r="R38" s="9" t="s">
        <v>25</v>
      </c>
      <c r="S38">
        <f>C31-S12</f>
        <v>-0.19473454702244181</v>
      </c>
      <c r="T38">
        <f>D31/T12</f>
        <v>0.90789796535984335</v>
      </c>
      <c r="U38">
        <f t="shared" ref="U38:W38" si="4">E31/U12</f>
        <v>1.0899602261845627</v>
      </c>
      <c r="V38">
        <f t="shared" si="4"/>
        <v>1.0440116025143418</v>
      </c>
      <c r="W38">
        <f t="shared" si="4"/>
        <v>1.0936257733961681</v>
      </c>
    </row>
    <row r="39" spans="2:24" x14ac:dyDescent="0.35">
      <c r="B39" s="1" t="s">
        <v>7</v>
      </c>
      <c r="C39">
        <f>C13-C32</f>
        <v>0.41412328567431167</v>
      </c>
      <c r="D39">
        <f>D32/D13</f>
        <v>1.2020071276207556</v>
      </c>
      <c r="E39">
        <f t="shared" si="2"/>
        <v>1.5568631342942922</v>
      </c>
      <c r="F39">
        <f t="shared" si="2"/>
        <v>1.2477432164889908</v>
      </c>
      <c r="G39">
        <f t="shared" si="2"/>
        <v>1.3289126623602014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4.6122490413557038E-2</v>
      </c>
      <c r="D46">
        <v>0.61221998453216708</v>
      </c>
      <c r="E46">
        <v>0.76433588025993104</v>
      </c>
      <c r="F46">
        <v>0.87426304980819758</v>
      </c>
      <c r="G46">
        <v>0.89835649711615317</v>
      </c>
      <c r="H46">
        <v>18</v>
      </c>
    </row>
    <row r="47" spans="2:24" x14ac:dyDescent="0.35">
      <c r="B47" s="1" t="s">
        <v>7</v>
      </c>
      <c r="C47">
        <v>-5.4849620236773873E-2</v>
      </c>
      <c r="D47">
        <v>0.55050039774162396</v>
      </c>
      <c r="E47">
        <v>0.63198567029852748</v>
      </c>
      <c r="F47">
        <v>0.79497526395387141</v>
      </c>
      <c r="G47">
        <v>0.81748899919176876</v>
      </c>
      <c r="H47">
        <v>17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-2.2807946165018449E-2</v>
      </c>
      <c r="D53">
        <f>D46/D12</f>
        <v>1.027182116563951</v>
      </c>
      <c r="E53">
        <f t="shared" ref="E53:G54" si="5">E46/E12</f>
        <v>1.2985894310551909</v>
      </c>
      <c r="F53">
        <f t="shared" si="5"/>
        <v>1.1395566818088474</v>
      </c>
      <c r="G53">
        <f t="shared" si="5"/>
        <v>1.1384956086764395</v>
      </c>
      <c r="H53">
        <f>H12-H46</f>
        <v>0</v>
      </c>
      <c r="J53" s="9" t="s">
        <v>25</v>
      </c>
      <c r="K53">
        <f>C46-K20</f>
        <v>6.2139106482955619E-2</v>
      </c>
      <c r="L53">
        <f>D46/L11</f>
        <v>0.97527821956230842</v>
      </c>
      <c r="M53">
        <f t="shared" ref="M53:O53" si="6">E46/M11</f>
        <v>1.3468008663482738</v>
      </c>
      <c r="N53">
        <f t="shared" si="6"/>
        <v>1.1605174993718421</v>
      </c>
      <c r="O53">
        <f t="shared" si="6"/>
        <v>1.1684709950163117</v>
      </c>
      <c r="R53" s="9" t="s">
        <v>25</v>
      </c>
      <c r="S53">
        <f>C46-S20</f>
        <v>-9.3144378502596215E-2</v>
      </c>
      <c r="T53">
        <f>D46/T12</f>
        <v>0.78265435999633726</v>
      </c>
      <c r="U53">
        <f t="shared" ref="U53:W53" si="7">E46/U12</f>
        <v>0.64595972477585617</v>
      </c>
      <c r="V53">
        <f t="shared" si="7"/>
        <v>0.80371619666139393</v>
      </c>
      <c r="W53">
        <f t="shared" si="7"/>
        <v>0.84112212455870239</v>
      </c>
    </row>
    <row r="54" spans="2:24" x14ac:dyDescent="0.35">
      <c r="B54" s="1" t="s">
        <v>7</v>
      </c>
      <c r="C54">
        <f>C13-C47</f>
        <v>0.37477912124416496</v>
      </c>
      <c r="D54">
        <f>D47/D13</f>
        <v>0.91097679147614163</v>
      </c>
      <c r="E54">
        <f t="shared" si="5"/>
        <v>0.76897599280286166</v>
      </c>
      <c r="F54">
        <f t="shared" si="5"/>
        <v>0.87691276236742133</v>
      </c>
      <c r="G54">
        <f t="shared" si="5"/>
        <v>0.93498026382637878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0.33562022526418689</v>
      </c>
      <c r="D60">
        <v>0.59285875761957429</v>
      </c>
      <c r="E60">
        <v>0.45849192207843659</v>
      </c>
      <c r="F60">
        <v>0.67712031580690046</v>
      </c>
      <c r="G60">
        <v>0.60514061353282156</v>
      </c>
      <c r="H60">
        <v>18</v>
      </c>
    </row>
    <row r="61" spans="2:24" x14ac:dyDescent="0.35">
      <c r="B61" s="1" t="s">
        <v>7</v>
      </c>
      <c r="C61">
        <v>0.1712144369470395</v>
      </c>
      <c r="D61">
        <v>0.47033455407096691</v>
      </c>
      <c r="E61">
        <v>0.32743117262693361</v>
      </c>
      <c r="F61">
        <v>0.57221601919811149</v>
      </c>
      <c r="G61">
        <v>0.56280466285677833</v>
      </c>
      <c r="H61">
        <v>17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-0.31230568101564832</v>
      </c>
      <c r="D67">
        <f>D60/D12</f>
        <v>0.99469786818622252</v>
      </c>
      <c r="E67">
        <f t="shared" ref="E67:G68" si="8">E60/E12</f>
        <v>0.77896744037812293</v>
      </c>
      <c r="F67">
        <f t="shared" si="8"/>
        <v>0.88259132126829964</v>
      </c>
      <c r="G67">
        <f t="shared" si="8"/>
        <v>0.76690037123403332</v>
      </c>
      <c r="H67">
        <f>H12-H60</f>
        <v>0</v>
      </c>
      <c r="J67" s="9" t="s">
        <v>25</v>
      </c>
      <c r="K67">
        <f>K20-C60</f>
        <v>-0.35163684133358547</v>
      </c>
      <c r="L67">
        <f>D60/L11</f>
        <v>0.94443541241957096</v>
      </c>
      <c r="M67">
        <f t="shared" ref="M67:O67" si="9">E60/M11</f>
        <v>0.80788738801445326</v>
      </c>
      <c r="N67">
        <f t="shared" si="9"/>
        <v>0.89882556039225614</v>
      </c>
      <c r="O67">
        <f t="shared" si="9"/>
        <v>0.78709204763290541</v>
      </c>
      <c r="R67" s="9" t="s">
        <v>25</v>
      </c>
      <c r="S67">
        <f>S20-S60</f>
        <v>0.13926686891615325</v>
      </c>
      <c r="T67">
        <f>D60/T12</f>
        <v>0.75790321001615724</v>
      </c>
      <c r="U67">
        <f t="shared" ref="U67:W67" si="10">E60/U12</f>
        <v>0.38748320397705427</v>
      </c>
      <c r="V67">
        <f t="shared" si="10"/>
        <v>0.62248148886296573</v>
      </c>
      <c r="W67">
        <f t="shared" si="10"/>
        <v>0.56658705107096541</v>
      </c>
    </row>
    <row r="68" spans="2:24" x14ac:dyDescent="0.35">
      <c r="B68" s="1" t="s">
        <v>7</v>
      </c>
      <c r="C68">
        <f>C13-C61</f>
        <v>0.14871506406035159</v>
      </c>
      <c r="D68">
        <f>D61/D13</f>
        <v>0.77831708159642377</v>
      </c>
      <c r="E68">
        <f t="shared" si="8"/>
        <v>0.39840572797555107</v>
      </c>
      <c r="F68">
        <f t="shared" si="8"/>
        <v>0.63119389095233713</v>
      </c>
      <c r="G68">
        <f t="shared" si="8"/>
        <v>0.64369215081890874</v>
      </c>
      <c r="H68">
        <f>H13-H61</f>
        <v>0</v>
      </c>
    </row>
  </sheetData>
  <conditionalFormatting sqref="D20:G21">
    <cfRule type="cellIs" dxfId="115" priority="47" operator="lessThan">
      <formula>0</formula>
    </cfRule>
    <cfRule type="cellIs" dxfId="114" priority="46" operator="greaterThan">
      <formula>1</formula>
    </cfRule>
    <cfRule type="cellIs" dxfId="113" priority="45" operator="lessThan">
      <formula>1</formula>
    </cfRule>
    <cfRule type="cellIs" dxfId="112" priority="48" operator="greaterThan">
      <formula>0</formula>
    </cfRule>
  </conditionalFormatting>
  <conditionalFormatting sqref="D38:G39">
    <cfRule type="cellIs" dxfId="111" priority="42" operator="greaterThan">
      <formula>1</formula>
    </cfRule>
    <cfRule type="cellIs" dxfId="110" priority="44" operator="greaterThan">
      <formula>0</formula>
    </cfRule>
    <cfRule type="cellIs" dxfId="109" priority="43" operator="lessThan">
      <formula>0</formula>
    </cfRule>
    <cfRule type="cellIs" dxfId="108" priority="41" operator="lessThan">
      <formula>1</formula>
    </cfRule>
  </conditionalFormatting>
  <conditionalFormatting sqref="D53:G54">
    <cfRule type="cellIs" dxfId="107" priority="40" operator="greaterThan">
      <formula>0</formula>
    </cfRule>
    <cfRule type="cellIs" dxfId="106" priority="39" operator="lessThan">
      <formula>0</formula>
    </cfRule>
    <cfRule type="cellIs" dxfId="105" priority="38" operator="greaterThan">
      <formula>1</formula>
    </cfRule>
    <cfRule type="cellIs" dxfId="104" priority="37" operator="lessThan">
      <formula>1</formula>
    </cfRule>
  </conditionalFormatting>
  <conditionalFormatting sqref="D67:G68">
    <cfRule type="cellIs" dxfId="103" priority="36" operator="greaterThan">
      <formula>0</formula>
    </cfRule>
    <cfRule type="cellIs" dxfId="102" priority="35" operator="lessThan">
      <formula>0</formula>
    </cfRule>
    <cfRule type="cellIs" dxfId="101" priority="34" operator="greaterThan">
      <formula>1</formula>
    </cfRule>
    <cfRule type="cellIs" dxfId="100" priority="33" operator="lessThan">
      <formula>1</formula>
    </cfRule>
  </conditionalFormatting>
  <conditionalFormatting sqref="L20:O20">
    <cfRule type="cellIs" dxfId="99" priority="7" operator="lessThan">
      <formula>0</formula>
    </cfRule>
    <cfRule type="cellIs" dxfId="98" priority="5" operator="lessThan">
      <formula>1</formula>
    </cfRule>
    <cfRule type="cellIs" dxfId="97" priority="6" operator="greaterThan">
      <formula>1</formula>
    </cfRule>
    <cfRule type="cellIs" dxfId="96" priority="8" operator="greaterThan">
      <formula>0</formula>
    </cfRule>
  </conditionalFormatting>
  <conditionalFormatting sqref="L38:O38">
    <cfRule type="cellIs" dxfId="95" priority="31" operator="lessThan">
      <formula>0</formula>
    </cfRule>
    <cfRule type="cellIs" dxfId="94" priority="32" operator="greaterThan">
      <formula>0</formula>
    </cfRule>
    <cfRule type="cellIs" dxfId="93" priority="30" operator="greaterThan">
      <formula>1</formula>
    </cfRule>
    <cfRule type="cellIs" dxfId="92" priority="29" operator="lessThan">
      <formula>1</formula>
    </cfRule>
  </conditionalFormatting>
  <conditionalFormatting sqref="L53:O53">
    <cfRule type="cellIs" dxfId="91" priority="25" operator="lessThan">
      <formula>1</formula>
    </cfRule>
    <cfRule type="cellIs" dxfId="90" priority="26" operator="greaterThan">
      <formula>1</formula>
    </cfRule>
    <cfRule type="cellIs" dxfId="89" priority="27" operator="lessThan">
      <formula>0</formula>
    </cfRule>
    <cfRule type="cellIs" dxfId="88" priority="28" operator="greaterThan">
      <formula>0</formula>
    </cfRule>
  </conditionalFormatting>
  <conditionalFormatting sqref="L67:O67">
    <cfRule type="cellIs" dxfId="87" priority="24" operator="greaterThan">
      <formula>0</formula>
    </cfRule>
    <cfRule type="cellIs" dxfId="86" priority="23" operator="lessThan">
      <formula>0</formula>
    </cfRule>
    <cfRule type="cellIs" dxfId="85" priority="22" operator="greaterThan">
      <formula>1</formula>
    </cfRule>
    <cfRule type="cellIs" dxfId="84" priority="21" operator="lessThan">
      <formula>1</formula>
    </cfRule>
  </conditionalFormatting>
  <conditionalFormatting sqref="T20:W21">
    <cfRule type="cellIs" dxfId="83" priority="1" operator="lessThan">
      <formula>1</formula>
    </cfRule>
    <cfRule type="cellIs" dxfId="82" priority="4" operator="greaterThan">
      <formula>0</formula>
    </cfRule>
    <cfRule type="cellIs" dxfId="81" priority="3" operator="lessThan">
      <formula>0</formula>
    </cfRule>
    <cfRule type="cellIs" dxfId="80" priority="2" operator="greaterThan">
      <formula>1</formula>
    </cfRule>
  </conditionalFormatting>
  <conditionalFormatting sqref="T38:W38">
    <cfRule type="cellIs" dxfId="79" priority="12" operator="greaterThan">
      <formula>0</formula>
    </cfRule>
    <cfRule type="cellIs" dxfId="78" priority="11" operator="lessThan">
      <formula>0</formula>
    </cfRule>
    <cfRule type="cellIs" dxfId="77" priority="10" operator="greaterThan">
      <formula>1</formula>
    </cfRule>
    <cfRule type="cellIs" dxfId="76" priority="9" operator="lessThan">
      <formula>1</formula>
    </cfRule>
  </conditionalFormatting>
  <conditionalFormatting sqref="T53:W53">
    <cfRule type="cellIs" dxfId="75" priority="16" operator="greaterThan">
      <formula>0</formula>
    </cfRule>
    <cfRule type="cellIs" dxfId="74" priority="15" operator="lessThan">
      <formula>0</formula>
    </cfRule>
    <cfRule type="cellIs" dxfId="73" priority="14" operator="greaterThan">
      <formula>1</formula>
    </cfRule>
    <cfRule type="cellIs" dxfId="72" priority="13" operator="lessThan">
      <formula>1</formula>
    </cfRule>
  </conditionalFormatting>
  <conditionalFormatting sqref="T67:W67">
    <cfRule type="cellIs" dxfId="71" priority="19" operator="lessThan">
      <formula>0</formula>
    </cfRule>
    <cfRule type="cellIs" dxfId="70" priority="20" operator="greaterThan">
      <formula>0</formula>
    </cfRule>
    <cfRule type="cellIs" dxfId="69" priority="18" operator="greaterThan">
      <formula>1</formula>
    </cfRule>
    <cfRule type="cellIs" dxfId="68" priority="17" operator="lessThan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zoomScale="72" workbookViewId="0">
      <selection activeCell="G11" sqref="G11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8.6318062172388313E-2</v>
      </c>
      <c r="D4">
        <v>0.23364214203255959</v>
      </c>
      <c r="E4">
        <v>6.5956924848573226E-2</v>
      </c>
      <c r="F4">
        <v>0.25682080299028198</v>
      </c>
      <c r="G4">
        <v>0.25101113028942601</v>
      </c>
      <c r="H4">
        <v>14</v>
      </c>
    </row>
    <row r="5" spans="2:24" x14ac:dyDescent="0.35">
      <c r="B5" s="1" t="s">
        <v>7</v>
      </c>
      <c r="C5">
        <v>0.31915918093421319</v>
      </c>
      <c r="D5">
        <v>0.36018831591037592</v>
      </c>
      <c r="E5">
        <v>0.19136360771699709</v>
      </c>
      <c r="F5">
        <v>0.43745126324768691</v>
      </c>
      <c r="G5">
        <v>0.31138311400523799</v>
      </c>
      <c r="H5">
        <v>13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1.4597469120764371E-2</v>
      </c>
      <c r="D11">
        <v>0.45167711798194837</v>
      </c>
      <c r="E11">
        <v>0.29894663823234507</v>
      </c>
      <c r="F11">
        <v>0.54676012860517287</v>
      </c>
      <c r="G11">
        <v>0.5671975459550489</v>
      </c>
      <c r="H11">
        <v>14</v>
      </c>
      <c r="J11" s="1" t="s">
        <v>16</v>
      </c>
      <c r="K11">
        <v>0.2104998623820129</v>
      </c>
      <c r="L11">
        <v>0.53745175877019913</v>
      </c>
      <c r="M11">
        <v>0.41815363904148489</v>
      </c>
      <c r="N11">
        <v>0.64664800242596043</v>
      </c>
      <c r="O11">
        <v>0.63639379912141802</v>
      </c>
      <c r="P11">
        <v>13</v>
      </c>
      <c r="R11" s="1" t="s">
        <v>16</v>
      </c>
      <c r="S11" s="8">
        <v>4.6123285E-2</v>
      </c>
      <c r="T11" s="8">
        <v>0.44199607299999999</v>
      </c>
      <c r="U11" s="8">
        <v>0.28730630099999999</v>
      </c>
      <c r="V11" s="8">
        <v>0.53600960900000005</v>
      </c>
      <c r="W11" s="8">
        <v>0.54315071599999998</v>
      </c>
      <c r="X11" s="8">
        <v>30</v>
      </c>
    </row>
    <row r="12" spans="2:24" x14ac:dyDescent="0.35">
      <c r="B12" s="1" t="s">
        <v>6</v>
      </c>
      <c r="C12">
        <v>9.8133402043107151E-2</v>
      </c>
      <c r="D12">
        <v>0.46359810317669242</v>
      </c>
      <c r="E12">
        <v>0.2750967462583303</v>
      </c>
      <c r="F12">
        <v>0.52449665991151007</v>
      </c>
      <c r="G12">
        <v>0.53468410107600095</v>
      </c>
      <c r="H12">
        <v>14</v>
      </c>
      <c r="R12" s="1" t="s">
        <v>6</v>
      </c>
      <c r="S12">
        <v>0.21365319999999999</v>
      </c>
      <c r="T12">
        <v>0.61153630000000003</v>
      </c>
      <c r="U12">
        <v>0.56419660000000005</v>
      </c>
      <c r="V12">
        <v>0.75113021499999999</v>
      </c>
      <c r="W12">
        <v>0.72413762699999995</v>
      </c>
      <c r="X12">
        <v>90</v>
      </c>
    </row>
    <row r="13" spans="2:24" x14ac:dyDescent="0.35">
      <c r="B13" s="1" t="s">
        <v>7</v>
      </c>
      <c r="C13">
        <v>0.31846457917520993</v>
      </c>
      <c r="D13">
        <v>0.58562582523502649</v>
      </c>
      <c r="E13">
        <v>0.59416600715936796</v>
      </c>
      <c r="F13">
        <v>0.77082164419492527</v>
      </c>
      <c r="G13">
        <v>0.73062200365006436</v>
      </c>
      <c r="H13">
        <v>13</v>
      </c>
      <c r="R13" s="1" t="s">
        <v>7</v>
      </c>
      <c r="S13">
        <v>0.11065504800000001</v>
      </c>
      <c r="T13">
        <v>0.48668236300000001</v>
      </c>
      <c r="U13">
        <v>0.325109382</v>
      </c>
      <c r="V13">
        <v>0.57018363900000002</v>
      </c>
      <c r="W13">
        <v>0.56612338900000003</v>
      </c>
      <c r="X13">
        <v>42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1.1815339870718838E-2</v>
      </c>
      <c r="D20">
        <f>D4/D12</f>
        <v>0.50397562119340877</v>
      </c>
      <c r="E20">
        <f t="shared" ref="D20:F21" si="0">E4/E12</f>
        <v>0.2397590147672492</v>
      </c>
      <c r="F20">
        <f>F4/F12</f>
        <v>0.48965193226132508</v>
      </c>
      <c r="G20">
        <f>G4/G12</f>
        <v>0.4694568807718239</v>
      </c>
      <c r="H20">
        <f>H12-H4</f>
        <v>0</v>
      </c>
      <c r="J20" s="9" t="s">
        <v>25</v>
      </c>
      <c r="K20">
        <f>C4-K11</f>
        <v>-0.12418180020962459</v>
      </c>
      <c r="L20">
        <f>D4/L11</f>
        <v>0.43472207173938954</v>
      </c>
      <c r="M20">
        <f>E4/M11</f>
        <v>0.15773371003003434</v>
      </c>
      <c r="N20">
        <f>F4/N11</f>
        <v>0.39715703447129619</v>
      </c>
      <c r="O20">
        <f>G4/O11</f>
        <v>0.39442736657076605</v>
      </c>
      <c r="P20">
        <f>H4-P11</f>
        <v>1</v>
      </c>
      <c r="R20" s="1" t="s">
        <v>6</v>
      </c>
      <c r="S20">
        <f>S12-C4</f>
        <v>0.12733513782761169</v>
      </c>
      <c r="T20">
        <f>D4/T12</f>
        <v>0.38205768330115414</v>
      </c>
      <c r="U20">
        <f t="shared" ref="T20:W21" si="1">E4/U12</f>
        <v>0.11690415158222013</v>
      </c>
      <c r="V20">
        <f t="shared" si="1"/>
        <v>0.34191249115212596</v>
      </c>
      <c r="W20">
        <f t="shared" si="1"/>
        <v>0.34663456355572864</v>
      </c>
      <c r="X20">
        <f>X12-H4</f>
        <v>76</v>
      </c>
    </row>
    <row r="21" spans="2:24" x14ac:dyDescent="0.35">
      <c r="B21" s="1" t="s">
        <v>7</v>
      </c>
      <c r="C21">
        <f>C13-C5</f>
        <v>-6.9460175900326604E-4</v>
      </c>
      <c r="D21">
        <f t="shared" si="0"/>
        <v>0.61504855214645504</v>
      </c>
      <c r="E21">
        <f t="shared" si="0"/>
        <v>0.32207094551215093</v>
      </c>
      <c r="F21">
        <f t="shared" si="0"/>
        <v>0.56751294744010106</v>
      </c>
      <c r="G21">
        <f>G5/G13</f>
        <v>0.42618907239259213</v>
      </c>
      <c r="H21">
        <f>H13-H5</f>
        <v>0</v>
      </c>
      <c r="J21" s="12"/>
      <c r="R21" s="1" t="s">
        <v>7</v>
      </c>
      <c r="S21">
        <f>S13-C5</f>
        <v>-0.20850413293421319</v>
      </c>
      <c r="T21">
        <f t="shared" si="1"/>
        <v>0.74008910799665839</v>
      </c>
      <c r="U21">
        <f t="shared" si="1"/>
        <v>0.58861299707738701</v>
      </c>
      <c r="V21">
        <f t="shared" si="1"/>
        <v>0.76721118132203525</v>
      </c>
      <c r="W21">
        <f t="shared" si="1"/>
        <v>0.55002693768802757</v>
      </c>
      <c r="X21">
        <f>X13-H5</f>
        <v>29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-5.0356060848349028E-3</v>
      </c>
      <c r="D31">
        <v>0.36379920921131509</v>
      </c>
      <c r="E31">
        <v>0.18553504246867661</v>
      </c>
      <c r="F31">
        <v>0.43073778853111622</v>
      </c>
      <c r="G31">
        <v>0.44696718103238592</v>
      </c>
      <c r="H31">
        <v>14</v>
      </c>
    </row>
    <row r="32" spans="2:24" x14ac:dyDescent="0.35">
      <c r="B32" s="1" t="s">
        <v>7</v>
      </c>
      <c r="C32">
        <v>-1.8982601426219069E-2</v>
      </c>
      <c r="D32">
        <v>0.31657446480404078</v>
      </c>
      <c r="E32">
        <v>0.13638888291589271</v>
      </c>
      <c r="F32">
        <v>0.3693086553492792</v>
      </c>
      <c r="G32">
        <v>0.38388052273969497</v>
      </c>
      <c r="H32">
        <v>13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0.10316900812794205</v>
      </c>
      <c r="D38">
        <f>D31/D12</f>
        <v>0.7847297189493877</v>
      </c>
      <c r="E38">
        <f t="shared" ref="E38:F39" si="2">E31/E12</f>
        <v>0.6744356121698708</v>
      </c>
      <c r="F38">
        <f t="shared" si="2"/>
        <v>0.82124028893489565</v>
      </c>
      <c r="G38">
        <f>G31/G12</f>
        <v>0.83594627207524397</v>
      </c>
      <c r="H38">
        <f>H12-H31</f>
        <v>0</v>
      </c>
      <c r="J38" s="9" t="s">
        <v>25</v>
      </c>
      <c r="K38">
        <f>C31-K11</f>
        <v>-0.21553546846684782</v>
      </c>
      <c r="L38">
        <f>D31/L11</f>
        <v>0.67689649028921772</v>
      </c>
      <c r="M38">
        <f t="shared" ref="M38:N38" si="3">E31/M11</f>
        <v>0.44370065245389323</v>
      </c>
      <c r="N38">
        <f t="shared" si="3"/>
        <v>0.6661085890858135</v>
      </c>
      <c r="O38">
        <f>G31/O11</f>
        <v>0.70234370864306417</v>
      </c>
      <c r="R38" s="9" t="s">
        <v>25</v>
      </c>
      <c r="S38">
        <f>C31-S12</f>
        <v>-0.2186888060848349</v>
      </c>
      <c r="T38">
        <f>D31/T12</f>
        <v>0.59489389135414372</v>
      </c>
      <c r="U38">
        <f t="shared" ref="U38:V38" si="4">E31/U12</f>
        <v>0.32884821083408972</v>
      </c>
      <c r="V38">
        <f t="shared" si="4"/>
        <v>0.57345288463880562</v>
      </c>
      <c r="W38">
        <f>G31/W12</f>
        <v>0.61724065200714384</v>
      </c>
    </row>
    <row r="39" spans="2:24" x14ac:dyDescent="0.35">
      <c r="B39" s="1" t="s">
        <v>7</v>
      </c>
      <c r="C39">
        <f>C13-C32</f>
        <v>0.33744718060142898</v>
      </c>
      <c r="D39">
        <f>D32/D13</f>
        <v>0.54057463172323628</v>
      </c>
      <c r="E39">
        <f t="shared" si="2"/>
        <v>0.22954676180138711</v>
      </c>
      <c r="F39">
        <f t="shared" si="2"/>
        <v>0.4791103858208326</v>
      </c>
      <c r="G39">
        <f>G32/G13</f>
        <v>0.52541604389395968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0.197981145</v>
      </c>
      <c r="D46">
        <v>0.379525793</v>
      </c>
      <c r="E46">
        <v>0.277862581</v>
      </c>
      <c r="F46">
        <v>0.52712672199999999</v>
      </c>
      <c r="G46">
        <v>0.50697630500000002</v>
      </c>
      <c r="H46">
        <v>14</v>
      </c>
    </row>
    <row r="47" spans="2:24" x14ac:dyDescent="0.35">
      <c r="B47" s="1" t="s">
        <v>7</v>
      </c>
      <c r="C47">
        <v>0.23472541699999999</v>
      </c>
      <c r="D47">
        <v>0.38221986899999999</v>
      </c>
      <c r="E47">
        <v>0.22475149699999999</v>
      </c>
      <c r="F47">
        <v>0.47407963199999997</v>
      </c>
      <c r="G47">
        <v>0.42871136199999998</v>
      </c>
      <c r="H47">
        <v>13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-9.9847742956892846E-2</v>
      </c>
      <c r="D53">
        <f>D46/D12</f>
        <v>0.81865260103393966</v>
      </c>
      <c r="E53">
        <f t="shared" ref="E53:F54" si="5">E46/E12</f>
        <v>1.0100540438201782</v>
      </c>
      <c r="F53">
        <f t="shared" si="5"/>
        <v>1.005014449641936</v>
      </c>
      <c r="G53">
        <f>G46/G12</f>
        <v>0.94817912853544428</v>
      </c>
      <c r="H53">
        <f>H12-H46</f>
        <v>0</v>
      </c>
      <c r="J53" s="9" t="s">
        <v>25</v>
      </c>
      <c r="K53">
        <f>C46-K20</f>
        <v>0.32216294520962457</v>
      </c>
      <c r="L53">
        <f>D46/L11</f>
        <v>0.70615787706869459</v>
      </c>
      <c r="M53">
        <f t="shared" ref="M53:N53" si="6">E46/M11</f>
        <v>0.66449877522752665</v>
      </c>
      <c r="N53">
        <f t="shared" si="6"/>
        <v>0.81516794302686291</v>
      </c>
      <c r="O53">
        <f>G46/O11</f>
        <v>0.79663929111175025</v>
      </c>
      <c r="R53" s="9" t="s">
        <v>25</v>
      </c>
      <c r="S53">
        <f>C46-S20</f>
        <v>7.0646007172388309E-2</v>
      </c>
      <c r="T53">
        <f>D46/T12</f>
        <v>0.62061040857263905</v>
      </c>
      <c r="U53">
        <f t="shared" ref="U53:V53" si="7">E46/U12</f>
        <v>0.49249247691318943</v>
      </c>
      <c r="V53">
        <f t="shared" si="7"/>
        <v>0.70177808251263063</v>
      </c>
      <c r="W53">
        <f>G46/W12</f>
        <v>0.70011042942255508</v>
      </c>
    </row>
    <row r="54" spans="2:24" x14ac:dyDescent="0.35">
      <c r="B54" s="1" t="s">
        <v>7</v>
      </c>
      <c r="C54">
        <f>C13-C47</f>
        <v>8.3739162175209936E-2</v>
      </c>
      <c r="D54">
        <f>D47/D13</f>
        <v>0.65266908071652319</v>
      </c>
      <c r="E54">
        <f t="shared" si="5"/>
        <v>0.37826380892186728</v>
      </c>
      <c r="F54">
        <f t="shared" si="5"/>
        <v>0.61503155181267166</v>
      </c>
      <c r="G54">
        <f>G47/G13</f>
        <v>0.58677587022869593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0.52719335642218468</v>
      </c>
      <c r="D60">
        <v>0.53524652289702923</v>
      </c>
      <c r="E60">
        <v>0.37596051702919309</v>
      </c>
      <c r="F60">
        <v>0.61315619301218283</v>
      </c>
      <c r="G60">
        <v>0.32491271580925141</v>
      </c>
      <c r="H60">
        <v>14</v>
      </c>
    </row>
    <row r="61" spans="2:24" x14ac:dyDescent="0.35">
      <c r="B61" s="1" t="s">
        <v>7</v>
      </c>
      <c r="C61">
        <v>0.3608719923970472</v>
      </c>
      <c r="D61">
        <v>0.40232714678225162</v>
      </c>
      <c r="E61">
        <v>0.21936026624004551</v>
      </c>
      <c r="F61">
        <v>0.46835912101724408</v>
      </c>
      <c r="G61">
        <v>0.31073994050017179</v>
      </c>
      <c r="H61">
        <v>13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-0.42905995437907751</v>
      </c>
      <c r="D67">
        <f>D60/D12</f>
        <v>1.1545485609828503</v>
      </c>
      <c r="E67">
        <f t="shared" ref="E67:F68" si="8">E60/E12</f>
        <v>1.3666483596870549</v>
      </c>
      <c r="F67">
        <f t="shared" si="8"/>
        <v>1.1690373645384717</v>
      </c>
      <c r="G67">
        <f>G60/G12</f>
        <v>0.60767229688594715</v>
      </c>
      <c r="H67">
        <f>H12-H60</f>
        <v>0</v>
      </c>
      <c r="J67" s="9" t="s">
        <v>25</v>
      </c>
      <c r="K67">
        <f>K20-C60</f>
        <v>-0.65137515663180923</v>
      </c>
      <c r="L67">
        <f>D60/L11</f>
        <v>0.9958968673240256</v>
      </c>
      <c r="M67">
        <f t="shared" ref="M67:N67" si="9">E60/M11</f>
        <v>0.89909660451835538</v>
      </c>
      <c r="N67">
        <f t="shared" si="9"/>
        <v>0.94820704728363814</v>
      </c>
      <c r="O67">
        <f>G60/O11</f>
        <v>0.51055292533933239</v>
      </c>
      <c r="R67" s="9" t="s">
        <v>25</v>
      </c>
      <c r="S67">
        <f>S20-S60</f>
        <v>0.12733513782761169</v>
      </c>
      <c r="T67">
        <f>D60/T12</f>
        <v>0.87524898014562535</v>
      </c>
      <c r="U67">
        <f t="shared" ref="U67:V67" si="10">E60/U12</f>
        <v>0.66636437906430679</v>
      </c>
      <c r="V67">
        <f t="shared" si="10"/>
        <v>0.81631144742617345</v>
      </c>
      <c r="W67">
        <f>G60/W12</f>
        <v>0.44868917688384591</v>
      </c>
    </row>
    <row r="68" spans="2:24" x14ac:dyDescent="0.35">
      <c r="B68" s="1" t="s">
        <v>7</v>
      </c>
      <c r="C68">
        <f>C13-C61</f>
        <v>-4.2407413221837276E-2</v>
      </c>
      <c r="D68">
        <f>D61/D13</f>
        <v>0.68700376493947746</v>
      </c>
      <c r="E68">
        <f t="shared" si="8"/>
        <v>0.36919019869342412</v>
      </c>
      <c r="F68">
        <f t="shared" si="8"/>
        <v>0.60761023583661267</v>
      </c>
      <c r="G68">
        <f>G61/G13</f>
        <v>0.42530876287295954</v>
      </c>
      <c r="H68">
        <f>H13-H61</f>
        <v>0</v>
      </c>
    </row>
  </sheetData>
  <conditionalFormatting sqref="D20:G21 D38:G39 D53:G54 D67:G68">
    <cfRule type="cellIs" dxfId="67" priority="48" operator="greaterThan">
      <formula>0</formula>
    </cfRule>
    <cfRule type="cellIs" dxfId="66" priority="45" operator="lessThan">
      <formula>1</formula>
    </cfRule>
    <cfRule type="cellIs" dxfId="65" priority="46" operator="greaterThan">
      <formula>1</formula>
    </cfRule>
    <cfRule type="cellIs" dxfId="64" priority="47" operator="lessThan">
      <formula>0</formula>
    </cfRule>
  </conditionalFormatting>
  <conditionalFormatting sqref="L20:O20">
    <cfRule type="cellIs" dxfId="63" priority="5" operator="lessThan">
      <formula>1</formula>
    </cfRule>
    <cfRule type="cellIs" dxfId="62" priority="6" operator="greaterThan">
      <formula>1</formula>
    </cfRule>
    <cfRule type="cellIs" dxfId="61" priority="7" operator="lessThan">
      <formula>0</formula>
    </cfRule>
    <cfRule type="cellIs" dxfId="60" priority="8" operator="greaterThan">
      <formula>0</formula>
    </cfRule>
  </conditionalFormatting>
  <conditionalFormatting sqref="L38:O38">
    <cfRule type="cellIs" dxfId="59" priority="30" operator="greaterThan">
      <formula>1</formula>
    </cfRule>
    <cfRule type="cellIs" dxfId="58" priority="29" operator="lessThan">
      <formula>1</formula>
    </cfRule>
    <cfRule type="cellIs" dxfId="57" priority="31" operator="lessThan">
      <formula>0</formula>
    </cfRule>
    <cfRule type="cellIs" dxfId="56" priority="32" operator="greaterThan">
      <formula>0</formula>
    </cfRule>
  </conditionalFormatting>
  <conditionalFormatting sqref="L53:O53">
    <cfRule type="cellIs" dxfId="55" priority="28" operator="greaterThan">
      <formula>0</formula>
    </cfRule>
    <cfRule type="cellIs" dxfId="54" priority="27" operator="lessThan">
      <formula>0</formula>
    </cfRule>
    <cfRule type="cellIs" dxfId="53" priority="26" operator="greaterThan">
      <formula>1</formula>
    </cfRule>
    <cfRule type="cellIs" dxfId="52" priority="25" operator="lessThan">
      <formula>1</formula>
    </cfRule>
  </conditionalFormatting>
  <conditionalFormatting sqref="L67:O67">
    <cfRule type="cellIs" dxfId="51" priority="23" operator="lessThan">
      <formula>0</formula>
    </cfRule>
    <cfRule type="cellIs" dxfId="50" priority="22" operator="greaterThan">
      <formula>1</formula>
    </cfRule>
    <cfRule type="cellIs" dxfId="49" priority="21" operator="lessThan">
      <formula>1</formula>
    </cfRule>
    <cfRule type="cellIs" dxfId="48" priority="24" operator="greaterThan">
      <formula>0</formula>
    </cfRule>
  </conditionalFormatting>
  <conditionalFormatting sqref="T20:W21">
    <cfRule type="cellIs" dxfId="47" priority="3" operator="lessThan">
      <formula>0</formula>
    </cfRule>
    <cfRule type="cellIs" dxfId="46" priority="4" operator="greaterThan">
      <formula>0</formula>
    </cfRule>
    <cfRule type="cellIs" dxfId="45" priority="1" operator="lessThan">
      <formula>1</formula>
    </cfRule>
    <cfRule type="cellIs" dxfId="44" priority="2" operator="greaterThan">
      <formula>1</formula>
    </cfRule>
  </conditionalFormatting>
  <conditionalFormatting sqref="T38:W38">
    <cfRule type="cellIs" dxfId="43" priority="12" operator="greaterThan">
      <formula>0</formula>
    </cfRule>
    <cfRule type="cellIs" dxfId="42" priority="11" operator="lessThan">
      <formula>0</formula>
    </cfRule>
    <cfRule type="cellIs" dxfId="41" priority="10" operator="greaterThan">
      <formula>1</formula>
    </cfRule>
    <cfRule type="cellIs" dxfId="40" priority="9" operator="lessThan">
      <formula>1</formula>
    </cfRule>
  </conditionalFormatting>
  <conditionalFormatting sqref="T53:W53">
    <cfRule type="cellIs" dxfId="39" priority="14" operator="greaterThan">
      <formula>1</formula>
    </cfRule>
    <cfRule type="cellIs" dxfId="38" priority="13" operator="lessThan">
      <formula>1</formula>
    </cfRule>
    <cfRule type="cellIs" dxfId="37" priority="16" operator="greaterThan">
      <formula>0</formula>
    </cfRule>
    <cfRule type="cellIs" dxfId="36" priority="15" operator="lessThan">
      <formula>0</formula>
    </cfRule>
  </conditionalFormatting>
  <conditionalFormatting sqref="T67:W67">
    <cfRule type="cellIs" dxfId="35" priority="20" operator="greaterThan">
      <formula>0</formula>
    </cfRule>
    <cfRule type="cellIs" dxfId="34" priority="18" operator="greaterThan">
      <formula>1</formula>
    </cfRule>
    <cfRule type="cellIs" dxfId="33" priority="17" operator="lessThan">
      <formula>1</formula>
    </cfRule>
    <cfRule type="cellIs" dxfId="32" priority="19" operator="lessThan">
      <formula>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10A0-0D45-4C16-B1BE-B18E1B02119C}">
  <dimension ref="B2:N19"/>
  <sheetViews>
    <sheetView zoomScale="107" workbookViewId="0">
      <selection activeCell="B1" sqref="B1:N20"/>
    </sheetView>
  </sheetViews>
  <sheetFormatPr baseColWidth="10" defaultRowHeight="14.5" x14ac:dyDescent="0.35"/>
  <cols>
    <col min="2" max="2" width="21.54296875" customWidth="1"/>
    <col min="10" max="10" width="15" customWidth="1"/>
  </cols>
  <sheetData>
    <row r="2" spans="2:14" x14ac:dyDescent="0.35">
      <c r="B2" s="3" t="s">
        <v>34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7.3010701186685747E-2</v>
      </c>
      <c r="D3">
        <v>0.23897399536592709</v>
      </c>
      <c r="E3">
        <v>8.7547221814146287E-2</v>
      </c>
      <c r="F3">
        <v>0.29588379782297353</v>
      </c>
      <c r="G3">
        <v>0.29317875128468363</v>
      </c>
      <c r="H3">
        <v>23</v>
      </c>
    </row>
    <row r="4" spans="2:14" x14ac:dyDescent="0.35">
      <c r="B4" s="5"/>
    </row>
    <row r="5" spans="2:14" x14ac:dyDescent="0.35">
      <c r="B5" s="5"/>
    </row>
    <row r="6" spans="2:14" x14ac:dyDescent="0.35">
      <c r="B6" s="3" t="s">
        <v>37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8.2066856816625108E-2</v>
      </c>
      <c r="D7">
        <v>0.21997379185819019</v>
      </c>
      <c r="E7">
        <v>7.9256786909448013E-2</v>
      </c>
      <c r="F7">
        <v>0.28152581925899439</v>
      </c>
      <c r="G7">
        <v>0.27535116522516317</v>
      </c>
      <c r="H7">
        <v>23</v>
      </c>
      <c r="K7">
        <f>D7/$D$3</f>
        <v>0.92049258967008951</v>
      </c>
      <c r="L7">
        <f>E7/$E$3</f>
        <v>0.90530327824339174</v>
      </c>
      <c r="M7">
        <f>F7/$F$3</f>
        <v>0.95147426567584659</v>
      </c>
      <c r="N7">
        <f>G7/$G$3</f>
        <v>0.93919209362410638</v>
      </c>
    </row>
    <row r="8" spans="2:14" x14ac:dyDescent="0.35">
      <c r="B8" s="5"/>
    </row>
    <row r="9" spans="2:14" x14ac:dyDescent="0.35">
      <c r="B9" s="5"/>
    </row>
    <row r="10" spans="2:14" x14ac:dyDescent="0.35">
      <c r="B10" s="11" t="s">
        <v>14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4" t="s">
        <v>6</v>
      </c>
      <c r="C11">
        <v>0.12756998706823619</v>
      </c>
      <c r="D11">
        <v>0.29499755529394678</v>
      </c>
      <c r="E11">
        <v>0.15065333126078401</v>
      </c>
      <c r="F11">
        <v>0.38814086522908658</v>
      </c>
      <c r="G11">
        <v>0.37481645703321259</v>
      </c>
      <c r="H11">
        <v>23</v>
      </c>
      <c r="K11">
        <f>D11/$D$3</f>
        <v>1.2344337083297874</v>
      </c>
      <c r="L11">
        <f>E11/$E$3</f>
        <v>1.7208236668047043</v>
      </c>
      <c r="M11">
        <f>F11/$F$3</f>
        <v>1.3118016873006011</v>
      </c>
      <c r="N11">
        <f>G11/$G$3</f>
        <v>1.2784571030158212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0.16411053804405201</v>
      </c>
      <c r="D15">
        <v>0.39907398756127849</v>
      </c>
      <c r="E15">
        <v>0.27178303877059412</v>
      </c>
      <c r="F15">
        <v>0.52132814883774892</v>
      </c>
      <c r="G15">
        <v>0.5059450074181695</v>
      </c>
      <c r="H15">
        <v>23</v>
      </c>
      <c r="K15">
        <f>D15/$D$3</f>
        <v>1.6699473386223447</v>
      </c>
      <c r="L15">
        <f>E15/$E$3</f>
        <v>3.1044164867682662</v>
      </c>
      <c r="M15">
        <f>F15/$F$3</f>
        <v>1.7619354377411978</v>
      </c>
      <c r="N15">
        <f>G15/$G$3</f>
        <v>1.7257219535903021</v>
      </c>
    </row>
    <row r="18" spans="2:14" x14ac:dyDescent="0.35">
      <c r="B18" s="3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0.15608656437797641</v>
      </c>
      <c r="D19">
        <v>0.35154503472458448</v>
      </c>
      <c r="E19">
        <v>0.21502142994085369</v>
      </c>
      <c r="F19">
        <v>0.4637040326985023</v>
      </c>
      <c r="G19">
        <v>0.44645795538149102</v>
      </c>
      <c r="H19">
        <v>23</v>
      </c>
      <c r="K19">
        <f>D19/$D$3</f>
        <v>1.4710597870127411</v>
      </c>
      <c r="L19">
        <f>E19/$E$3</f>
        <v>2.4560622882736585</v>
      </c>
      <c r="M19">
        <f>F19/$F$3</f>
        <v>1.5671829147466032</v>
      </c>
      <c r="N19">
        <f>G19/$G$3</f>
        <v>1.5228182582303504</v>
      </c>
    </row>
  </sheetData>
  <conditionalFormatting sqref="K7:N7">
    <cfRule type="cellIs" dxfId="31" priority="13" operator="lessThan">
      <formula>1</formula>
    </cfRule>
    <cfRule type="cellIs" dxfId="30" priority="14" operator="greaterThan">
      <formula>1</formula>
    </cfRule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K11:N11">
    <cfRule type="cellIs" dxfId="27" priority="9" operator="lessThan">
      <formula>1</formula>
    </cfRule>
    <cfRule type="cellIs" dxfId="26" priority="10" operator="greaterThan">
      <formula>1</formula>
    </cfRule>
    <cfRule type="cellIs" dxfId="25" priority="11" operator="lessThan">
      <formula>0</formula>
    </cfRule>
    <cfRule type="cellIs" dxfId="24" priority="12" operator="greaterThan">
      <formula>0</formula>
    </cfRule>
  </conditionalFormatting>
  <conditionalFormatting sqref="K15:N15">
    <cfRule type="cellIs" dxfId="23" priority="5" operator="lessThan">
      <formula>1</formula>
    </cfRule>
    <cfRule type="cellIs" dxfId="22" priority="6" operator="greaterThan">
      <formula>1</formula>
    </cfRule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K19:N19">
    <cfRule type="cellIs" dxfId="19" priority="1" operator="lessThan">
      <formula>1</formula>
    </cfRule>
    <cfRule type="cellIs" dxfId="18" priority="2" operator="greaterThan">
      <formula>1</formula>
    </cfRule>
    <cfRule type="cellIs" dxfId="17" priority="3" operator="lessThan">
      <formula>0</formula>
    </cfRule>
    <cfRule type="cellIs" dxfId="16" priority="4" operator="greaterThan">
      <formula>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8A60-7893-49B4-AB86-ABEB7E22E9BB}">
  <dimension ref="B2:N19"/>
  <sheetViews>
    <sheetView tabSelected="1" workbookViewId="0">
      <selection activeCell="P30" sqref="P30"/>
    </sheetView>
  </sheetViews>
  <sheetFormatPr baseColWidth="10" defaultRowHeight="14.5" x14ac:dyDescent="0.35"/>
  <sheetData>
    <row r="2" spans="2:14" x14ac:dyDescent="0.35">
      <c r="B2" s="3" t="s">
        <v>54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0.155486188</v>
      </c>
      <c r="D3">
        <v>0.60472487799999997</v>
      </c>
      <c r="E3">
        <v>0.91985223900000002</v>
      </c>
      <c r="F3">
        <v>0.95908927600000005</v>
      </c>
      <c r="G3">
        <v>0.95685955099999997</v>
      </c>
      <c r="H3">
        <v>46</v>
      </c>
    </row>
    <row r="4" spans="2:14" x14ac:dyDescent="0.35">
      <c r="B4" s="5"/>
    </row>
    <row r="5" spans="2:14" x14ac:dyDescent="0.35">
      <c r="B5" s="5"/>
    </row>
    <row r="6" spans="2:14" x14ac:dyDescent="0.35">
      <c r="B6" t="s">
        <v>55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2.458820482611912E-2</v>
      </c>
      <c r="D7">
        <v>0.37664673483054878</v>
      </c>
      <c r="E7">
        <v>0.39864716471943967</v>
      </c>
      <c r="F7">
        <v>0.63138511601037894</v>
      </c>
      <c r="G7">
        <v>0.63787771216628031</v>
      </c>
      <c r="H7">
        <v>46</v>
      </c>
      <c r="K7">
        <f>D7/$D$3</f>
        <v>0.62283982110381908</v>
      </c>
      <c r="L7">
        <f>E7/$E$3</f>
        <v>0.43338174091180276</v>
      </c>
      <c r="M7">
        <f>F7/$F$3</f>
        <v>0.65831735565186211</v>
      </c>
      <c r="N7">
        <f>G7/$G$3</f>
        <v>0.6666367195683458</v>
      </c>
    </row>
    <row r="8" spans="2:14" x14ac:dyDescent="0.35">
      <c r="B8" s="5"/>
    </row>
    <row r="9" spans="2:14" x14ac:dyDescent="0.35">
      <c r="B9" s="5"/>
    </row>
    <row r="10" spans="2:14" x14ac:dyDescent="0.35">
      <c r="B10" t="s">
        <v>14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" t="s">
        <v>6</v>
      </c>
      <c r="C11">
        <v>8.6342364894636901E-3</v>
      </c>
      <c r="D11">
        <v>1.0812319808024791</v>
      </c>
      <c r="E11">
        <v>8.1122716097907226</v>
      </c>
      <c r="F11">
        <v>2.8482049802973668</v>
      </c>
      <c r="G11">
        <v>2.8796645821211899</v>
      </c>
      <c r="H11">
        <v>46</v>
      </c>
      <c r="K11">
        <f>D11/$D$3</f>
        <v>1.7879733745673336</v>
      </c>
      <c r="L11">
        <f>E11/$E$3</f>
        <v>8.8191029665914886</v>
      </c>
      <c r="M11">
        <f>F11/$F$3</f>
        <v>2.969697453167401</v>
      </c>
      <c r="N11">
        <f>G11/$G$3</f>
        <v>3.0094955723770478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8.2663867298475718E-2</v>
      </c>
      <c r="D15">
        <v>1.2667108454297911</v>
      </c>
      <c r="E15">
        <v>10.58350078540567</v>
      </c>
      <c r="F15">
        <v>3.2532292857106881</v>
      </c>
      <c r="G15">
        <v>3.2881156496309241</v>
      </c>
      <c r="H15">
        <v>46</v>
      </c>
      <c r="K15">
        <f>D15/$D$3</f>
        <v>2.0946894885806091</v>
      </c>
      <c r="L15">
        <f>E15/$E$3</f>
        <v>11.505653121974593</v>
      </c>
      <c r="M15">
        <f>F15/$F$3</f>
        <v>3.3919983958935309</v>
      </c>
      <c r="N15">
        <f>G15/$G$3</f>
        <v>3.4363618424402644</v>
      </c>
    </row>
    <row r="18" spans="2:14" x14ac:dyDescent="0.35">
      <c r="B18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0.13694201739237261</v>
      </c>
      <c r="D19">
        <v>0.90200216721233928</v>
      </c>
      <c r="E19">
        <v>4.5672053599729097</v>
      </c>
      <c r="F19">
        <v>2.1371020939517389</v>
      </c>
      <c r="G19">
        <v>2.1562766428209801</v>
      </c>
      <c r="H19">
        <v>46</v>
      </c>
      <c r="K19">
        <f>D19/$D$3</f>
        <v>1.4915909697572245</v>
      </c>
      <c r="L19">
        <f>E19/$E$3</f>
        <v>4.9651511039838967</v>
      </c>
      <c r="M19">
        <f>F19/$F$3</f>
        <v>2.2282619016081449</v>
      </c>
      <c r="N19">
        <f>G19/$G$3</f>
        <v>2.2534933581082894</v>
      </c>
    </row>
  </sheetData>
  <conditionalFormatting sqref="K7:N7">
    <cfRule type="cellIs" dxfId="15" priority="13" operator="lessThan">
      <formula>1</formula>
    </cfRule>
    <cfRule type="cellIs" dxfId="14" priority="14" operator="greaterThan">
      <formula>1</formula>
    </cfRule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K11:N11">
    <cfRule type="cellIs" dxfId="11" priority="9" operator="lessThan">
      <formula>1</formula>
    </cfRule>
    <cfRule type="cellIs" dxfId="10" priority="10" operator="greaterThan">
      <formula>1</formula>
    </cfRule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K15:N15">
    <cfRule type="cellIs" dxfId="7" priority="5" operator="lessThan">
      <formula>1</formula>
    </cfRule>
    <cfRule type="cellIs" dxfId="6" priority="6" operator="greaterThan">
      <formula>1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K19:N19">
    <cfRule type="cellIs" dxfId="3" priority="1" operator="lessThan">
      <formula>1</formula>
    </cfRule>
    <cfRule type="cellIs" dxfId="2" priority="2" operator="greaterThan">
      <formula>1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Naive - ifo</vt:lpstr>
      <vt:lpstr>Naive-ifo 2010-2018</vt:lpstr>
      <vt:lpstr>Naive-ifo sd filtered</vt:lpstr>
      <vt:lpstr>ifoCAST - ifo</vt:lpstr>
      <vt:lpstr>ifoCAST -ifo 2021 sample</vt:lpstr>
      <vt:lpstr>ifoCAST - ifo 2022 sample</vt:lpstr>
      <vt:lpstr>ifoCAST long_term</vt:lpstr>
      <vt:lpstr>ifoCAST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2026-02-12T11:19:14Z</dcterms:modified>
</cp:coreProperties>
</file>